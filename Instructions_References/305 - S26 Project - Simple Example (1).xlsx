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kerson/Desktop/305 Shared Folder/Projects/"/>
    </mc:Choice>
  </mc:AlternateContent>
  <xr:revisionPtr revIDLastSave="0" documentId="8_{AD36C56D-78E2-D547-AB5C-B9793B267202}" xr6:coauthVersionLast="47" xr6:coauthVersionMax="47" xr10:uidLastSave="{00000000-0000-0000-0000-000000000000}"/>
  <bookViews>
    <workbookView xWindow="0" yWindow="500" windowWidth="28040" windowHeight="16240" xr2:uid="{BD9A901D-09C1-EF4A-B5E5-92BE49E66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8" i="1"/>
  <c r="O8" i="1"/>
  <c r="M8" i="1"/>
  <c r="L4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8" i="1"/>
  <c r="B151" i="1"/>
  <c r="C151" i="1"/>
  <c r="B152" i="1"/>
  <c r="C152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D113" i="1"/>
  <c r="B114" i="1"/>
  <c r="C114" i="1"/>
  <c r="B115" i="1"/>
  <c r="C115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8" i="1"/>
  <c r="D140" i="1" l="1"/>
  <c r="D106" i="1"/>
  <c r="D102" i="1"/>
  <c r="K102" i="1" s="1"/>
  <c r="D98" i="1"/>
  <c r="H98" i="1" s="1"/>
  <c r="I98" i="1" s="1"/>
  <c r="D150" i="1"/>
  <c r="H150" i="1" s="1"/>
  <c r="I150" i="1" s="1"/>
  <c r="D103" i="1"/>
  <c r="H103" i="1" s="1"/>
  <c r="I103" i="1" s="1"/>
  <c r="D143" i="1"/>
  <c r="H143" i="1" s="1"/>
  <c r="I143" i="1" s="1"/>
  <c r="D111" i="1"/>
  <c r="K111" i="1" s="1"/>
  <c r="D105" i="1"/>
  <c r="K105" i="1" s="1"/>
  <c r="D141" i="1"/>
  <c r="K141" i="1" s="1"/>
  <c r="D129" i="1"/>
  <c r="H129" i="1" s="1"/>
  <c r="I129" i="1" s="1"/>
  <c r="D121" i="1"/>
  <c r="H121" i="1" s="1"/>
  <c r="I121" i="1" s="1"/>
  <c r="D148" i="1"/>
  <c r="K148" i="1" s="1"/>
  <c r="D114" i="1"/>
  <c r="K114" i="1" s="1"/>
  <c r="D132" i="1"/>
  <c r="H132" i="1" s="1"/>
  <c r="I132" i="1" s="1"/>
  <c r="D128" i="1"/>
  <c r="H128" i="1" s="1"/>
  <c r="I128" i="1" s="1"/>
  <c r="D120" i="1"/>
  <c r="K120" i="1" s="1"/>
  <c r="D147" i="1"/>
  <c r="H147" i="1" s="1"/>
  <c r="I147" i="1" s="1"/>
  <c r="D109" i="1"/>
  <c r="K109" i="1" s="1"/>
  <c r="D134" i="1"/>
  <c r="K134" i="1" s="1"/>
  <c r="D122" i="1"/>
  <c r="H122" i="1" s="1"/>
  <c r="I122" i="1" s="1"/>
  <c r="H106" i="1"/>
  <c r="I106" i="1" s="1"/>
  <c r="D124" i="1"/>
  <c r="K124" i="1" s="1"/>
  <c r="H113" i="1"/>
  <c r="I113" i="1" s="1"/>
  <c r="D131" i="1"/>
  <c r="H131" i="1" s="1"/>
  <c r="I131" i="1" s="1"/>
  <c r="D116" i="1"/>
  <c r="H116" i="1" s="1"/>
  <c r="I116" i="1" s="1"/>
  <c r="D146" i="1"/>
  <c r="H146" i="1" s="1"/>
  <c r="I146" i="1" s="1"/>
  <c r="D108" i="1"/>
  <c r="K108" i="1" s="1"/>
  <c r="D142" i="1"/>
  <c r="K142" i="1" s="1"/>
  <c r="D139" i="1"/>
  <c r="H139" i="1" s="1"/>
  <c r="I139" i="1" s="1"/>
  <c r="D100" i="1"/>
  <c r="K100" i="1" s="1"/>
  <c r="D149" i="1"/>
  <c r="K149" i="1" s="1"/>
  <c r="H140" i="1"/>
  <c r="I140" i="1" s="1"/>
  <c r="D115" i="1"/>
  <c r="K115" i="1" s="1"/>
  <c r="D104" i="1"/>
  <c r="K104" i="1" s="1"/>
  <c r="D130" i="1"/>
  <c r="K130" i="1" s="1"/>
  <c r="D123" i="1"/>
  <c r="H123" i="1" s="1"/>
  <c r="I123" i="1" s="1"/>
  <c r="D144" i="1"/>
  <c r="K144" i="1" s="1"/>
  <c r="D137" i="1"/>
  <c r="H137" i="1" s="1"/>
  <c r="I137" i="1" s="1"/>
  <c r="D151" i="1"/>
  <c r="K151" i="1" s="1"/>
  <c r="D136" i="1"/>
  <c r="K136" i="1" s="1"/>
  <c r="K140" i="1"/>
  <c r="D110" i="1"/>
  <c r="K110" i="1" s="1"/>
  <c r="K147" i="1"/>
  <c r="H105" i="1"/>
  <c r="I105" i="1" s="1"/>
  <c r="H120" i="1"/>
  <c r="I120" i="1" s="1"/>
  <c r="K106" i="1"/>
  <c r="K98" i="1"/>
  <c r="D107" i="1"/>
  <c r="K107" i="1" s="1"/>
  <c r="D119" i="1"/>
  <c r="K119" i="1" s="1"/>
  <c r="D112" i="1"/>
  <c r="K112" i="1" s="1"/>
  <c r="D138" i="1"/>
  <c r="K138" i="1" s="1"/>
  <c r="H109" i="1"/>
  <c r="I109" i="1" s="1"/>
  <c r="K113" i="1"/>
  <c r="H102" i="1"/>
  <c r="I102" i="1" s="1"/>
  <c r="H141" i="1"/>
  <c r="I141" i="1" s="1"/>
  <c r="D101" i="1"/>
  <c r="K101" i="1" s="1"/>
  <c r="D126" i="1"/>
  <c r="K126" i="1" s="1"/>
  <c r="D152" i="1"/>
  <c r="D99" i="1"/>
  <c r="K99" i="1" s="1"/>
  <c r="D133" i="1"/>
  <c r="D145" i="1"/>
  <c r="K145" i="1" s="1"/>
  <c r="D117" i="1"/>
  <c r="K117" i="1" s="1"/>
  <c r="D125" i="1"/>
  <c r="H149" i="1"/>
  <c r="I149" i="1" s="1"/>
  <c r="D127" i="1"/>
  <c r="D118" i="1"/>
  <c r="K118" i="1" s="1"/>
  <c r="D135" i="1"/>
  <c r="D8" i="1"/>
  <c r="H8" i="1" s="1"/>
  <c r="D65" i="1"/>
  <c r="H65" i="1" s="1"/>
  <c r="I65" i="1" s="1"/>
  <c r="D73" i="1"/>
  <c r="K73" i="1" s="1"/>
  <c r="D17" i="1"/>
  <c r="H17" i="1" s="1"/>
  <c r="I17" i="1" s="1"/>
  <c r="D25" i="1"/>
  <c r="H25" i="1" s="1"/>
  <c r="I25" i="1" s="1"/>
  <c r="D57" i="1"/>
  <c r="H57" i="1" s="1"/>
  <c r="I57" i="1" s="1"/>
  <c r="H124" i="1" l="1"/>
  <c r="I124" i="1" s="1"/>
  <c r="K103" i="1"/>
  <c r="K129" i="1"/>
  <c r="K143" i="1"/>
  <c r="H108" i="1"/>
  <c r="I108" i="1" s="1"/>
  <c r="H115" i="1"/>
  <c r="I115" i="1" s="1"/>
  <c r="K150" i="1"/>
  <c r="H134" i="1"/>
  <c r="I134" i="1" s="1"/>
  <c r="H111" i="1"/>
  <c r="I111" i="1" s="1"/>
  <c r="H104" i="1"/>
  <c r="I104" i="1" s="1"/>
  <c r="H112" i="1"/>
  <c r="I112" i="1" s="1"/>
  <c r="K121" i="1"/>
  <c r="K122" i="1"/>
  <c r="H73" i="1"/>
  <c r="I73" i="1" s="1"/>
  <c r="K116" i="1"/>
  <c r="K128" i="1"/>
  <c r="H100" i="1"/>
  <c r="I100" i="1" s="1"/>
  <c r="K132" i="1"/>
  <c r="H110" i="1"/>
  <c r="I110" i="1" s="1"/>
  <c r="K123" i="1"/>
  <c r="H114" i="1"/>
  <c r="I114" i="1" s="1"/>
  <c r="H148" i="1"/>
  <c r="I148" i="1" s="1"/>
  <c r="K8" i="1"/>
  <c r="H151" i="1"/>
  <c r="I151" i="1" s="1"/>
  <c r="H142" i="1"/>
  <c r="I142" i="1" s="1"/>
  <c r="K146" i="1"/>
  <c r="K131" i="1"/>
  <c r="H138" i="1"/>
  <c r="I138" i="1" s="1"/>
  <c r="K65" i="1"/>
  <c r="K139" i="1"/>
  <c r="H136" i="1"/>
  <c r="I136" i="1" s="1"/>
  <c r="H125" i="1"/>
  <c r="I125" i="1" s="1"/>
  <c r="K125" i="1"/>
  <c r="K25" i="1"/>
  <c r="H130" i="1"/>
  <c r="I130" i="1" s="1"/>
  <c r="H101" i="1"/>
  <c r="I101" i="1" s="1"/>
  <c r="H144" i="1"/>
  <c r="I144" i="1" s="1"/>
  <c r="H152" i="1"/>
  <c r="I152" i="1" s="1"/>
  <c r="K152" i="1"/>
  <c r="K137" i="1"/>
  <c r="H107" i="1"/>
  <c r="I107" i="1" s="1"/>
  <c r="K57" i="1"/>
  <c r="H135" i="1"/>
  <c r="I135" i="1" s="1"/>
  <c r="K135" i="1"/>
  <c r="H117" i="1"/>
  <c r="I117" i="1" s="1"/>
  <c r="H119" i="1"/>
  <c r="I119" i="1" s="1"/>
  <c r="H133" i="1"/>
  <c r="I133" i="1" s="1"/>
  <c r="K133" i="1"/>
  <c r="H118" i="1"/>
  <c r="I118" i="1" s="1"/>
  <c r="K17" i="1"/>
  <c r="H127" i="1"/>
  <c r="I127" i="1" s="1"/>
  <c r="K127" i="1"/>
  <c r="H126" i="1"/>
  <c r="I126" i="1" s="1"/>
  <c r="H145" i="1"/>
  <c r="I145" i="1" s="1"/>
  <c r="H99" i="1"/>
  <c r="I99" i="1" s="1"/>
  <c r="D24" i="1"/>
  <c r="K24" i="1" s="1"/>
  <c r="D39" i="1"/>
  <c r="K39" i="1" s="1"/>
  <c r="D46" i="1"/>
  <c r="K46" i="1" s="1"/>
  <c r="D45" i="1"/>
  <c r="K45" i="1" s="1"/>
  <c r="D86" i="1"/>
  <c r="K86" i="1" s="1"/>
  <c r="D85" i="1"/>
  <c r="K85" i="1" s="1"/>
  <c r="D30" i="1"/>
  <c r="K30" i="1" s="1"/>
  <c r="D78" i="1"/>
  <c r="K78" i="1" s="1"/>
  <c r="D21" i="1"/>
  <c r="K21" i="1" s="1"/>
  <c r="D54" i="1"/>
  <c r="K54" i="1" s="1"/>
  <c r="D20" i="1"/>
  <c r="K20" i="1" s="1"/>
  <c r="D69" i="1"/>
  <c r="K69" i="1" s="1"/>
  <c r="D77" i="1"/>
  <c r="K77" i="1" s="1"/>
  <c r="D36" i="1"/>
  <c r="K36" i="1" s="1"/>
  <c r="D13" i="1"/>
  <c r="K13" i="1" s="1"/>
  <c r="D68" i="1"/>
  <c r="K68" i="1" s="1"/>
  <c r="D76" i="1"/>
  <c r="K76" i="1" s="1"/>
  <c r="D53" i="1"/>
  <c r="K53" i="1" s="1"/>
  <c r="D84" i="1"/>
  <c r="K84" i="1" s="1"/>
  <c r="D70" i="1"/>
  <c r="K70" i="1" s="1"/>
  <c r="D52" i="1"/>
  <c r="K52" i="1" s="1"/>
  <c r="D95" i="1"/>
  <c r="K95" i="1" s="1"/>
  <c r="D87" i="1"/>
  <c r="K87" i="1" s="1"/>
  <c r="D79" i="1"/>
  <c r="K79" i="1" s="1"/>
  <c r="D63" i="1"/>
  <c r="K63" i="1" s="1"/>
  <c r="D55" i="1"/>
  <c r="K55" i="1" s="1"/>
  <c r="D47" i="1"/>
  <c r="K47" i="1" s="1"/>
  <c r="D31" i="1"/>
  <c r="K31" i="1" s="1"/>
  <c r="D43" i="1"/>
  <c r="K43" i="1" s="1"/>
  <c r="D35" i="1"/>
  <c r="K35" i="1" s="1"/>
  <c r="D27" i="1"/>
  <c r="K27" i="1" s="1"/>
  <c r="D19" i="1"/>
  <c r="K19" i="1" s="1"/>
  <c r="D11" i="1"/>
  <c r="K11" i="1" s="1"/>
  <c r="D18" i="1"/>
  <c r="K18" i="1" s="1"/>
  <c r="D64" i="1"/>
  <c r="K64" i="1" s="1"/>
  <c r="D32" i="1"/>
  <c r="K32" i="1" s="1"/>
  <c r="D72" i="1"/>
  <c r="D40" i="1"/>
  <c r="D49" i="1"/>
  <c r="D97" i="1"/>
  <c r="K97" i="1" s="1"/>
  <c r="D89" i="1"/>
  <c r="D81" i="1"/>
  <c r="D41" i="1"/>
  <c r="K41" i="1" s="1"/>
  <c r="D33" i="1"/>
  <c r="D9" i="1"/>
  <c r="K9" i="1" s="1"/>
  <c r="D96" i="1"/>
  <c r="K96" i="1" s="1"/>
  <c r="D88" i="1"/>
  <c r="D80" i="1"/>
  <c r="D56" i="1"/>
  <c r="D48" i="1"/>
  <c r="D16" i="1"/>
  <c r="D28" i="1"/>
  <c r="D12" i="1"/>
  <c r="D92" i="1"/>
  <c r="D60" i="1"/>
  <c r="D90" i="1"/>
  <c r="D82" i="1"/>
  <c r="D74" i="1"/>
  <c r="D66" i="1"/>
  <c r="D58" i="1"/>
  <c r="D50" i="1"/>
  <c r="D42" i="1"/>
  <c r="D34" i="1"/>
  <c r="D93" i="1"/>
  <c r="D29" i="1"/>
  <c r="D26" i="1"/>
  <c r="D10" i="1"/>
  <c r="D37" i="1"/>
  <c r="K37" i="1" s="1"/>
  <c r="D23" i="1"/>
  <c r="K23" i="1" s="1"/>
  <c r="D94" i="1"/>
  <c r="K94" i="1" s="1"/>
  <c r="D62" i="1"/>
  <c r="D38" i="1"/>
  <c r="D22" i="1"/>
  <c r="K22" i="1" s="1"/>
  <c r="D14" i="1"/>
  <c r="D61" i="1"/>
  <c r="D71" i="1"/>
  <c r="D15" i="1"/>
  <c r="D91" i="1"/>
  <c r="D59" i="1"/>
  <c r="I8" i="1"/>
  <c r="D67" i="1"/>
  <c r="D44" i="1"/>
  <c r="D75" i="1"/>
  <c r="K75" i="1" s="1"/>
  <c r="D83" i="1"/>
  <c r="K83" i="1" s="1"/>
  <c r="D51" i="1"/>
  <c r="H89" i="1" l="1"/>
  <c r="I89" i="1" s="1"/>
  <c r="K89" i="1"/>
  <c r="H50" i="1"/>
  <c r="I50" i="1" s="1"/>
  <c r="K50" i="1"/>
  <c r="H58" i="1"/>
  <c r="I58" i="1" s="1"/>
  <c r="K58" i="1"/>
  <c r="H10" i="1"/>
  <c r="I10" i="1" s="1"/>
  <c r="K10" i="1"/>
  <c r="H44" i="1"/>
  <c r="I44" i="1" s="1"/>
  <c r="K44" i="1"/>
  <c r="H14" i="1"/>
  <c r="I14" i="1" s="1"/>
  <c r="K14" i="1"/>
  <c r="H26" i="1"/>
  <c r="I26" i="1" s="1"/>
  <c r="K26" i="1"/>
  <c r="H74" i="1"/>
  <c r="I74" i="1" s="1"/>
  <c r="K74" i="1"/>
  <c r="H16" i="1"/>
  <c r="I16" i="1" s="1"/>
  <c r="K16" i="1"/>
  <c r="H49" i="1"/>
  <c r="I49" i="1" s="1"/>
  <c r="K49" i="1"/>
  <c r="H72" i="1"/>
  <c r="I72" i="1" s="1"/>
  <c r="K72" i="1"/>
  <c r="H42" i="1"/>
  <c r="I42" i="1" s="1"/>
  <c r="K42" i="1"/>
  <c r="H71" i="1"/>
  <c r="I71" i="1" s="1"/>
  <c r="K71" i="1"/>
  <c r="H66" i="1"/>
  <c r="I66" i="1" s="1"/>
  <c r="K66" i="1"/>
  <c r="H67" i="1"/>
  <c r="I67" i="1" s="1"/>
  <c r="K67" i="1"/>
  <c r="H29" i="1"/>
  <c r="I29" i="1" s="1"/>
  <c r="K29" i="1"/>
  <c r="H82" i="1"/>
  <c r="I82" i="1" s="1"/>
  <c r="K82" i="1"/>
  <c r="H48" i="1"/>
  <c r="I48" i="1" s="1"/>
  <c r="K48" i="1"/>
  <c r="H33" i="1"/>
  <c r="I33" i="1" s="1"/>
  <c r="K33" i="1"/>
  <c r="H40" i="1"/>
  <c r="I40" i="1" s="1"/>
  <c r="K40" i="1"/>
  <c r="H92" i="1"/>
  <c r="I92" i="1" s="1"/>
  <c r="K92" i="1"/>
  <c r="H51" i="1"/>
  <c r="I51" i="1" s="1"/>
  <c r="K51" i="1"/>
  <c r="H28" i="1"/>
  <c r="I28" i="1" s="1"/>
  <c r="K28" i="1"/>
  <c r="H38" i="1"/>
  <c r="I38" i="1" s="1"/>
  <c r="K38" i="1"/>
  <c r="H93" i="1"/>
  <c r="I93" i="1" s="1"/>
  <c r="K93" i="1"/>
  <c r="H90" i="1"/>
  <c r="I90" i="1" s="1"/>
  <c r="K90" i="1"/>
  <c r="H56" i="1"/>
  <c r="I56" i="1" s="1"/>
  <c r="K56" i="1"/>
  <c r="H91" i="1"/>
  <c r="I91" i="1" s="1"/>
  <c r="K91" i="1"/>
  <c r="H88" i="1"/>
  <c r="I88" i="1" s="1"/>
  <c r="K88" i="1"/>
  <c r="H15" i="1"/>
  <c r="I15" i="1" s="1"/>
  <c r="K15" i="1"/>
  <c r="H12" i="1"/>
  <c r="I12" i="1" s="1"/>
  <c r="K12" i="1"/>
  <c r="H61" i="1"/>
  <c r="I61" i="1" s="1"/>
  <c r="K61" i="1"/>
  <c r="H59" i="1"/>
  <c r="I59" i="1" s="1"/>
  <c r="K59" i="1"/>
  <c r="H62" i="1"/>
  <c r="I62" i="1" s="1"/>
  <c r="K62" i="1"/>
  <c r="H34" i="1"/>
  <c r="I34" i="1" s="1"/>
  <c r="K34" i="1"/>
  <c r="H60" i="1"/>
  <c r="I60" i="1" s="1"/>
  <c r="K60" i="1"/>
  <c r="H80" i="1"/>
  <c r="I80" i="1" s="1"/>
  <c r="K80" i="1"/>
  <c r="H81" i="1"/>
  <c r="I81" i="1" s="1"/>
  <c r="K81" i="1"/>
  <c r="H47" i="1"/>
  <c r="I47" i="1" s="1"/>
  <c r="H20" i="1"/>
  <c r="I20" i="1" s="1"/>
  <c r="H55" i="1"/>
  <c r="I55" i="1" s="1"/>
  <c r="H39" i="1"/>
  <c r="I39" i="1" s="1"/>
  <c r="H11" i="1"/>
  <c r="I11" i="1" s="1"/>
  <c r="H21" i="1"/>
  <c r="I21" i="1" s="1"/>
  <c r="H68" i="1"/>
  <c r="I68" i="1" s="1"/>
  <c r="H87" i="1"/>
  <c r="I87" i="1" s="1"/>
  <c r="H96" i="1"/>
  <c r="I96" i="1" s="1"/>
  <c r="H97" i="1"/>
  <c r="I97" i="1" s="1"/>
  <c r="H35" i="1"/>
  <c r="I35" i="1" s="1"/>
  <c r="H95" i="1"/>
  <c r="I95" i="1" s="1"/>
  <c r="H36" i="1"/>
  <c r="I36" i="1" s="1"/>
  <c r="H85" i="1"/>
  <c r="I85" i="1" s="1"/>
  <c r="H84" i="1"/>
  <c r="I84" i="1" s="1"/>
  <c r="H22" i="1"/>
  <c r="I22" i="1" s="1"/>
  <c r="H53" i="1"/>
  <c r="I53" i="1" s="1"/>
  <c r="H41" i="1"/>
  <c r="I41" i="1" s="1"/>
  <c r="H63" i="1"/>
  <c r="I63" i="1" s="1"/>
  <c r="H24" i="1"/>
  <c r="I24" i="1" s="1"/>
  <c r="H78" i="1"/>
  <c r="I78" i="1" s="1"/>
  <c r="H94" i="1"/>
  <c r="I94" i="1" s="1"/>
  <c r="H27" i="1"/>
  <c r="I27" i="1" s="1"/>
  <c r="H13" i="1"/>
  <c r="I13" i="1" s="1"/>
  <c r="H23" i="1"/>
  <c r="I23" i="1" s="1"/>
  <c r="H83" i="1"/>
  <c r="I83" i="1" s="1"/>
  <c r="H37" i="1"/>
  <c r="I37" i="1" s="1"/>
  <c r="H43" i="1"/>
  <c r="I43" i="1" s="1"/>
  <c r="H52" i="1"/>
  <c r="I52" i="1" s="1"/>
  <c r="H77" i="1"/>
  <c r="I77" i="1" s="1"/>
  <c r="H86" i="1"/>
  <c r="I86" i="1" s="1"/>
  <c r="H9" i="1"/>
  <c r="I9" i="1" s="1"/>
  <c r="H64" i="1"/>
  <c r="I64" i="1" s="1"/>
  <c r="H46" i="1"/>
  <c r="I46" i="1" s="1"/>
  <c r="H18" i="1"/>
  <c r="I18" i="1" s="1"/>
  <c r="H54" i="1"/>
  <c r="I54" i="1" s="1"/>
  <c r="H76" i="1"/>
  <c r="I76" i="1" s="1"/>
  <c r="H19" i="1"/>
  <c r="I19" i="1" s="1"/>
  <c r="H79" i="1"/>
  <c r="I79" i="1" s="1"/>
  <c r="H30" i="1"/>
  <c r="I30" i="1" s="1"/>
  <c r="H75" i="1"/>
  <c r="I75" i="1" s="1"/>
  <c r="H32" i="1"/>
  <c r="I32" i="1" s="1"/>
  <c r="H31" i="1"/>
  <c r="I31" i="1" s="1"/>
  <c r="H70" i="1"/>
  <c r="I70" i="1" s="1"/>
  <c r="H69" i="1"/>
  <c r="I69" i="1" s="1"/>
  <c r="H45" i="1"/>
  <c r="I45" i="1" s="1"/>
  <c r="L9" i="1" l="1"/>
  <c r="M9" i="1" l="1"/>
  <c r="L10" i="1"/>
  <c r="L11" i="1" l="1"/>
  <c r="M10" i="1"/>
  <c r="M11" i="1" l="1"/>
  <c r="L12" i="1"/>
  <c r="L13" i="1" l="1"/>
  <c r="M12" i="1"/>
  <c r="M13" i="1" l="1"/>
  <c r="L14" i="1"/>
  <c r="L15" i="1" l="1"/>
  <c r="M14" i="1"/>
  <c r="M15" i="1" l="1"/>
  <c r="L16" i="1"/>
  <c r="L17" i="1" l="1"/>
  <c r="M16" i="1"/>
  <c r="M17" i="1" l="1"/>
  <c r="L18" i="1"/>
  <c r="L19" i="1" l="1"/>
  <c r="M18" i="1"/>
  <c r="M19" i="1" l="1"/>
  <c r="L20" i="1"/>
  <c r="L21" i="1" l="1"/>
  <c r="M20" i="1"/>
  <c r="M21" i="1" l="1"/>
  <c r="L22" i="1"/>
  <c r="L23" i="1" l="1"/>
  <c r="M22" i="1"/>
  <c r="M23" i="1" l="1"/>
  <c r="L24" i="1"/>
  <c r="L25" i="1" l="1"/>
  <c r="M24" i="1"/>
  <c r="M25" i="1" l="1"/>
  <c r="L26" i="1"/>
  <c r="L27" i="1" l="1"/>
  <c r="M26" i="1"/>
  <c r="M27" i="1" s="1"/>
  <c r="L28" i="1" l="1"/>
  <c r="L29" i="1" l="1"/>
  <c r="M28" i="1"/>
  <c r="M29" i="1" l="1"/>
  <c r="L30" i="1"/>
  <c r="L31" i="1" l="1"/>
  <c r="M30" i="1"/>
  <c r="L32" i="1" l="1"/>
  <c r="M31" i="1"/>
  <c r="M32" i="1" l="1"/>
  <c r="L33" i="1"/>
  <c r="L34" i="1" l="1"/>
  <c r="M33" i="1"/>
  <c r="M34" i="1" l="1"/>
  <c r="L35" i="1"/>
  <c r="M35" i="1" l="1"/>
  <c r="L36" i="1"/>
  <c r="L37" i="1" l="1"/>
  <c r="M36" i="1"/>
  <c r="M37" i="1" l="1"/>
  <c r="L38" i="1"/>
  <c r="M38" i="1" l="1"/>
  <c r="L39" i="1"/>
  <c r="L40" i="1" l="1"/>
  <c r="M39" i="1"/>
  <c r="M40" i="1" l="1"/>
  <c r="L41" i="1"/>
  <c r="M41" i="1" l="1"/>
  <c r="L42" i="1"/>
  <c r="M42" i="1" s="1"/>
  <c r="L43" i="1" l="1"/>
  <c r="L44" i="1" l="1"/>
  <c r="M43" i="1"/>
  <c r="M44" i="1" l="1"/>
  <c r="L45" i="1"/>
  <c r="L46" i="1" l="1"/>
  <c r="M45" i="1"/>
  <c r="M46" i="1" l="1"/>
  <c r="L47" i="1"/>
  <c r="L48" i="1" l="1"/>
  <c r="M47" i="1"/>
  <c r="M48" i="1" l="1"/>
  <c r="L49" i="1"/>
  <c r="M49" i="1" l="1"/>
  <c r="L50" i="1"/>
  <c r="M50" i="1" l="1"/>
  <c r="L51" i="1"/>
  <c r="L52" i="1" l="1"/>
  <c r="M51" i="1"/>
  <c r="M52" i="1" l="1"/>
  <c r="L53" i="1"/>
  <c r="L54" i="1" l="1"/>
  <c r="M53" i="1"/>
  <c r="M54" i="1" l="1"/>
  <c r="L55" i="1"/>
  <c r="L56" i="1" l="1"/>
  <c r="M55" i="1"/>
  <c r="M56" i="1" l="1"/>
  <c r="L57" i="1"/>
  <c r="L58" i="1" l="1"/>
  <c r="M57" i="1"/>
  <c r="M58" i="1" l="1"/>
  <c r="L59" i="1"/>
  <c r="L60" i="1" l="1"/>
  <c r="M59" i="1"/>
  <c r="M60" i="1" l="1"/>
  <c r="L61" i="1"/>
  <c r="L62" i="1" l="1"/>
  <c r="M61" i="1"/>
  <c r="M62" i="1" l="1"/>
  <c r="L63" i="1"/>
  <c r="L64" i="1" l="1"/>
  <c r="M63" i="1"/>
  <c r="M64" i="1" l="1"/>
  <c r="L65" i="1"/>
  <c r="L66" i="1" l="1"/>
  <c r="M65" i="1"/>
  <c r="M66" i="1" s="1"/>
  <c r="L67" i="1" l="1"/>
  <c r="L68" i="1" l="1"/>
  <c r="M67" i="1"/>
  <c r="M68" i="1" l="1"/>
  <c r="L69" i="1"/>
  <c r="L70" i="1" l="1"/>
  <c r="M69" i="1"/>
  <c r="M70" i="1" s="1"/>
  <c r="L71" i="1" l="1"/>
  <c r="L72" i="1" l="1"/>
  <c r="M71" i="1"/>
  <c r="M72" i="1" l="1"/>
  <c r="L73" i="1"/>
  <c r="L74" i="1" l="1"/>
  <c r="M73" i="1"/>
  <c r="M74" i="1" l="1"/>
  <c r="L75" i="1"/>
  <c r="L76" i="1" l="1"/>
  <c r="M75" i="1"/>
  <c r="M76" i="1" s="1"/>
  <c r="L77" i="1" l="1"/>
  <c r="L78" i="1" l="1"/>
  <c r="M77" i="1"/>
  <c r="L79" i="1" l="1"/>
  <c r="M78" i="1"/>
  <c r="M79" i="1" l="1"/>
  <c r="L80" i="1"/>
  <c r="L81" i="1" l="1"/>
  <c r="M80" i="1"/>
  <c r="M81" i="1" l="1"/>
  <c r="L82" i="1"/>
  <c r="L83" i="1" l="1"/>
  <c r="M82" i="1"/>
  <c r="M83" i="1" l="1"/>
  <c r="L84" i="1"/>
  <c r="L85" i="1" l="1"/>
  <c r="M84" i="1"/>
  <c r="M85" i="1" l="1"/>
  <c r="L86" i="1"/>
  <c r="L87" i="1" l="1"/>
  <c r="M86" i="1"/>
  <c r="M87" i="1" l="1"/>
  <c r="L88" i="1"/>
  <c r="L89" i="1" l="1"/>
  <c r="M88" i="1"/>
  <c r="M89" i="1" l="1"/>
  <c r="L90" i="1"/>
  <c r="L91" i="1" l="1"/>
  <c r="M90" i="1"/>
  <c r="M91" i="1" l="1"/>
  <c r="L92" i="1"/>
  <c r="L93" i="1" l="1"/>
  <c r="M92" i="1"/>
  <c r="M93" i="1" l="1"/>
  <c r="L94" i="1"/>
  <c r="L95" i="1" l="1"/>
  <c r="M94" i="1"/>
  <c r="M95" i="1" l="1"/>
  <c r="L96" i="1"/>
  <c r="L97" i="1" l="1"/>
  <c r="M96" i="1"/>
  <c r="M97" i="1" l="1"/>
  <c r="L98" i="1"/>
  <c r="L99" i="1" l="1"/>
  <c r="M98" i="1"/>
  <c r="M99" i="1" l="1"/>
  <c r="L100" i="1"/>
  <c r="M100" i="1" l="1"/>
  <c r="L101" i="1"/>
  <c r="M101" i="1" s="1"/>
  <c r="L102" i="1" l="1"/>
  <c r="M102" i="1" s="1"/>
  <c r="L103" i="1" l="1"/>
  <c r="L104" i="1" l="1"/>
  <c r="M103" i="1"/>
  <c r="M104" i="1" s="1"/>
  <c r="L105" i="1" l="1"/>
  <c r="L106" i="1" l="1"/>
  <c r="M105" i="1"/>
  <c r="M106" i="1" l="1"/>
  <c r="L107" i="1"/>
  <c r="L108" i="1" l="1"/>
  <c r="M107" i="1"/>
  <c r="M108" i="1" l="1"/>
  <c r="L109" i="1"/>
  <c r="L110" i="1" l="1"/>
  <c r="M109" i="1"/>
  <c r="M110" i="1" l="1"/>
  <c r="L111" i="1"/>
  <c r="L112" i="1" l="1"/>
  <c r="M111" i="1"/>
  <c r="M112" i="1" l="1"/>
  <c r="L113" i="1"/>
  <c r="L114" i="1" l="1"/>
  <c r="M113" i="1"/>
  <c r="M114" i="1" l="1"/>
  <c r="L115" i="1"/>
  <c r="L116" i="1" l="1"/>
  <c r="M115" i="1"/>
  <c r="M116" i="1" l="1"/>
  <c r="L117" i="1"/>
  <c r="L118" i="1" l="1"/>
  <c r="M117" i="1"/>
  <c r="M118" i="1" l="1"/>
  <c r="L119" i="1"/>
  <c r="L120" i="1" l="1"/>
  <c r="M119" i="1"/>
  <c r="M120" i="1" s="1"/>
  <c r="L121" i="1" l="1"/>
  <c r="L122" i="1" l="1"/>
  <c r="M121" i="1"/>
  <c r="M122" i="1" l="1"/>
  <c r="L123" i="1"/>
  <c r="L124" i="1" l="1"/>
  <c r="M123" i="1"/>
  <c r="M124" i="1" l="1"/>
  <c r="L125" i="1"/>
  <c r="L126" i="1" l="1"/>
  <c r="M125" i="1"/>
  <c r="M126" i="1" s="1"/>
  <c r="L127" i="1" l="1"/>
  <c r="L128" i="1" l="1"/>
  <c r="M127" i="1"/>
  <c r="M128" i="1" l="1"/>
  <c r="L129" i="1"/>
  <c r="L130" i="1" l="1"/>
  <c r="M129" i="1"/>
  <c r="M130" i="1" l="1"/>
  <c r="L131" i="1"/>
  <c r="L132" i="1" l="1"/>
  <c r="M131" i="1"/>
  <c r="M132" i="1" s="1"/>
  <c r="L133" i="1" l="1"/>
  <c r="L134" i="1" l="1"/>
  <c r="M133" i="1"/>
  <c r="M134" i="1" l="1"/>
  <c r="L135" i="1"/>
  <c r="M135" i="1" l="1"/>
  <c r="L136" i="1"/>
  <c r="L137" i="1" l="1"/>
  <c r="M136" i="1"/>
  <c r="M137" i="1" s="1"/>
  <c r="L138" i="1" l="1"/>
  <c r="M138" i="1" s="1"/>
  <c r="L139" i="1" l="1"/>
  <c r="M139" i="1"/>
  <c r="L140" i="1" l="1"/>
  <c r="L141" i="1" l="1"/>
  <c r="M140" i="1"/>
  <c r="M141" i="1" l="1"/>
  <c r="L142" i="1"/>
  <c r="L143" i="1" l="1"/>
  <c r="M142" i="1"/>
  <c r="M143" i="1" s="1"/>
  <c r="L144" i="1" l="1"/>
  <c r="L145" i="1" l="1"/>
  <c r="M144" i="1"/>
  <c r="M145" i="1" s="1"/>
  <c r="L146" i="1" l="1"/>
  <c r="L147" i="1" l="1"/>
  <c r="M146" i="1"/>
  <c r="M147" i="1" l="1"/>
  <c r="L148" i="1"/>
  <c r="L149" i="1" l="1"/>
  <c r="M148" i="1"/>
  <c r="M149" i="1" l="1"/>
  <c r="L150" i="1"/>
  <c r="L151" i="1" l="1"/>
  <c r="M150" i="1"/>
  <c r="M151" i="1" l="1"/>
  <c r="L152" i="1"/>
  <c r="M152" i="1" s="1"/>
  <c r="M4" i="1" s="1"/>
  <c r="N4" i="1" s="1"/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O9" i="1" l="1"/>
  <c r="O10" i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</calcChain>
</file>

<file path=xl/sharedStrings.xml><?xml version="1.0" encoding="utf-8"?>
<sst xmlns="http://schemas.openxmlformats.org/spreadsheetml/2006/main" count="53" uniqueCount="45">
  <si>
    <t>x</t>
  </si>
  <si>
    <t>h(x)</t>
  </si>
  <si>
    <t>b(x)</t>
  </si>
  <si>
    <t>Iz(x)</t>
  </si>
  <si>
    <t>Mz(x)</t>
  </si>
  <si>
    <t>in</t>
  </si>
  <si>
    <t>𝛔_vm</t>
  </si>
  <si>
    <t>psi</t>
  </si>
  <si>
    <t>P</t>
  </si>
  <si>
    <t>lbs</t>
  </si>
  <si>
    <t>FOS</t>
  </si>
  <si>
    <t>Y</t>
  </si>
  <si>
    <t>E</t>
  </si>
  <si>
    <t>S(x)</t>
  </si>
  <si>
    <t>v' = int(v'')</t>
  </si>
  <si>
    <t>C1 (radians)</t>
  </si>
  <si>
    <t>C2 (in)</t>
  </si>
  <si>
    <t>v = int(v')</t>
  </si>
  <si>
    <t>v' = int(v'')+C1</t>
  </si>
  <si>
    <t>v = int(v')+C1*x+C2</t>
  </si>
  <si>
    <t>(in)</t>
  </si>
  <si>
    <t>(in^4)</t>
  </si>
  <si>
    <t>(lb-in)</t>
  </si>
  <si>
    <t>(psi)</t>
  </si>
  <si>
    <t>(--)</t>
  </si>
  <si>
    <t>(1/in)</t>
  </si>
  <si>
    <t>(rads)</t>
  </si>
  <si>
    <t>Target FOS</t>
  </si>
  <si>
    <t>v(x=0)=0</t>
  </si>
  <si>
    <t>v(x=L)=0</t>
  </si>
  <si>
    <t>Boundary Conditions</t>
  </si>
  <si>
    <t xml:space="preserve">Correct C1 </t>
  </si>
  <si>
    <t>C2 already correct</t>
  </si>
  <si>
    <t>v''=Mz/(E*Iz)</t>
  </si>
  <si>
    <t>Rectangular Cross-section</t>
  </si>
  <si>
    <t>Al 6061 Material Properties</t>
  </si>
  <si>
    <t>(in^3)</t>
  </si>
  <si>
    <t>Vy(x)</t>
  </si>
  <si>
    <t>(lb)</t>
  </si>
  <si>
    <t>Load, load location, and Span</t>
  </si>
  <si>
    <t>L_P</t>
  </si>
  <si>
    <t>L</t>
  </si>
  <si>
    <t>Statics</t>
  </si>
  <si>
    <t>Stress Analysis</t>
  </si>
  <si>
    <t>Deformation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</si>
</sst>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2" fontId="0" fillId="0" borderId="0" xfId="0" applyNumberFormat="1"/>
    <xf numFmtId="2" fontId="0" fillId="4" borderId="11" xfId="0" applyNumberFormat="1" applyFill="1" applyBorder="1"/>
    <xf numFmtId="2" fontId="0" fillId="2" borderId="11" xfId="0" applyNumberFormat="1" applyFill="1" applyBorder="1"/>
    <xf numFmtId="2" fontId="0" fillId="5" borderId="11" xfId="0" applyNumberFormat="1" applyFill="1" applyBorder="1"/>
    <xf numFmtId="2" fontId="0" fillId="0" borderId="11" xfId="0" applyNumberFormat="1" applyBorder="1"/>
    <xf numFmtId="2" fontId="0" fillId="4" borderId="13" xfId="0" applyNumberFormat="1" applyFill="1" applyBorder="1"/>
    <xf numFmtId="2" fontId="0" fillId="5" borderId="15" xfId="0" applyNumberFormat="1" applyFill="1" applyBorder="1"/>
    <xf numFmtId="2" fontId="0" fillId="2" borderId="17" xfId="0" applyNumberFormat="1" applyFill="1" applyBorder="1"/>
    <xf numFmtId="2" fontId="0" fillId="3" borderId="18" xfId="0" applyNumberFormat="1" applyFill="1" applyBorder="1"/>
    <xf numFmtId="2" fontId="0" fillId="4" borderId="18" xfId="0" applyNumberFormat="1" applyFill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2" borderId="20" xfId="0" applyNumberFormat="1" applyFill="1" applyBorder="1"/>
    <xf numFmtId="2" fontId="0" fillId="0" borderId="21" xfId="0" applyNumberFormat="1" applyBorder="1"/>
    <xf numFmtId="2" fontId="0" fillId="2" borderId="22" xfId="0" applyNumberFormat="1" applyFill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8" xfId="0" quotePrefix="1" applyNumberFormat="1" applyBorder="1"/>
    <xf numFmtId="2" fontId="0" fillId="0" borderId="20" xfId="0" applyNumberFormat="1" applyBorder="1"/>
    <xf numFmtId="2" fontId="0" fillId="0" borderId="22" xfId="0" applyNumberFormat="1" applyBorder="1"/>
    <xf numFmtId="2" fontId="0" fillId="4" borderId="15" xfId="0" applyNumberFormat="1" applyFill="1" applyBorder="1"/>
    <xf numFmtId="2" fontId="0" fillId="4" borderId="16" xfId="0" applyNumberFormat="1" applyFill="1" applyBorder="1"/>
    <xf numFmtId="2" fontId="0" fillId="4" borderId="17" xfId="0" applyNumberFormat="1" applyFill="1" applyBorder="1"/>
    <xf numFmtId="2" fontId="0" fillId="4" borderId="19" xfId="0" applyNumberFormat="1" applyFill="1" applyBorder="1"/>
    <xf numFmtId="11" fontId="0" fillId="0" borderId="4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2" fontId="0" fillId="0" borderId="6" xfId="0" applyNumberFormat="1" applyBorder="1"/>
    <xf numFmtId="11" fontId="0" fillId="0" borderId="0" xfId="0" applyNumberFormat="1"/>
    <xf numFmtId="164" fontId="0" fillId="0" borderId="0" xfId="0" applyNumberFormat="1"/>
    <xf numFmtId="164" fontId="0" fillId="0" borderId="7" xfId="0" applyNumberFormat="1" applyBorder="1"/>
    <xf numFmtId="11" fontId="0" fillId="0" borderId="9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2" fontId="0" fillId="5" borderId="12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0" fillId="4" borderId="12" xfId="0" applyNumberFormat="1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2" fontId="0" fillId="4" borderId="14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73840769903763"/>
          <c:y val="5.3900554097404491E-2"/>
          <c:w val="0.86192825896762904"/>
          <c:h val="0.718336978710994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Sheet1!$E$6:$E$7</c:f>
              <c:strCache>
                <c:ptCount val="2"/>
                <c:pt idx="0">
                  <c:v>S(x)</c:v>
                </c:pt>
                <c:pt idx="1">
                  <c:v>(in^3)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Sheet1!$E$8:$E$152</c:f>
              <c:numCache>
                <c:formatCode>0.00E+00</c:formatCode>
                <c:ptCount val="145"/>
                <c:pt idx="0">
                  <c:v>1.953125E-3</c:v>
                </c:pt>
                <c:pt idx="1">
                  <c:v>1.953125E-3</c:v>
                </c:pt>
                <c:pt idx="2">
                  <c:v>1.953125E-3</c:v>
                </c:pt>
                <c:pt idx="3">
                  <c:v>1.953125E-3</c:v>
                </c:pt>
                <c:pt idx="4">
                  <c:v>1.953125E-3</c:v>
                </c:pt>
                <c:pt idx="5">
                  <c:v>1.953125E-3</c:v>
                </c:pt>
                <c:pt idx="6">
                  <c:v>1.953125E-3</c:v>
                </c:pt>
                <c:pt idx="7">
                  <c:v>1.953125E-3</c:v>
                </c:pt>
                <c:pt idx="8">
                  <c:v>1.953125E-3</c:v>
                </c:pt>
                <c:pt idx="9">
                  <c:v>1.953125E-3</c:v>
                </c:pt>
                <c:pt idx="10">
                  <c:v>1.953125E-3</c:v>
                </c:pt>
                <c:pt idx="11">
                  <c:v>1.953125E-3</c:v>
                </c:pt>
                <c:pt idx="12">
                  <c:v>1.953125E-3</c:v>
                </c:pt>
                <c:pt idx="13">
                  <c:v>1.953125E-3</c:v>
                </c:pt>
                <c:pt idx="14">
                  <c:v>1.953125E-3</c:v>
                </c:pt>
                <c:pt idx="15">
                  <c:v>1.953125E-3</c:v>
                </c:pt>
                <c:pt idx="16">
                  <c:v>1.953125E-3</c:v>
                </c:pt>
                <c:pt idx="17">
                  <c:v>1.953125E-3</c:v>
                </c:pt>
                <c:pt idx="18">
                  <c:v>1.953125E-3</c:v>
                </c:pt>
                <c:pt idx="19">
                  <c:v>1.953125E-3</c:v>
                </c:pt>
                <c:pt idx="20">
                  <c:v>1.953125E-3</c:v>
                </c:pt>
                <c:pt idx="21">
                  <c:v>1.953125E-3</c:v>
                </c:pt>
                <c:pt idx="22">
                  <c:v>1.953125E-3</c:v>
                </c:pt>
                <c:pt idx="23">
                  <c:v>1.953125E-3</c:v>
                </c:pt>
                <c:pt idx="24">
                  <c:v>1.953125E-3</c:v>
                </c:pt>
                <c:pt idx="25">
                  <c:v>1.953125E-3</c:v>
                </c:pt>
                <c:pt idx="26">
                  <c:v>1.953125E-3</c:v>
                </c:pt>
                <c:pt idx="27">
                  <c:v>1.953125E-3</c:v>
                </c:pt>
                <c:pt idx="28">
                  <c:v>1.953125E-3</c:v>
                </c:pt>
                <c:pt idx="29">
                  <c:v>1.953125E-3</c:v>
                </c:pt>
                <c:pt idx="30">
                  <c:v>1.953125E-3</c:v>
                </c:pt>
                <c:pt idx="31">
                  <c:v>1.953125E-3</c:v>
                </c:pt>
                <c:pt idx="32">
                  <c:v>1.953125E-3</c:v>
                </c:pt>
                <c:pt idx="33">
                  <c:v>1.953125E-3</c:v>
                </c:pt>
                <c:pt idx="34">
                  <c:v>1.953125E-3</c:v>
                </c:pt>
                <c:pt idx="35">
                  <c:v>1.953125E-3</c:v>
                </c:pt>
                <c:pt idx="36">
                  <c:v>1.953125E-3</c:v>
                </c:pt>
                <c:pt idx="37">
                  <c:v>1.953125E-3</c:v>
                </c:pt>
                <c:pt idx="38">
                  <c:v>1.953125E-3</c:v>
                </c:pt>
                <c:pt idx="39">
                  <c:v>1.953125E-3</c:v>
                </c:pt>
                <c:pt idx="40">
                  <c:v>1.953125E-3</c:v>
                </c:pt>
                <c:pt idx="41">
                  <c:v>1.953125E-3</c:v>
                </c:pt>
                <c:pt idx="42">
                  <c:v>1.953125E-3</c:v>
                </c:pt>
                <c:pt idx="43">
                  <c:v>1.953125E-3</c:v>
                </c:pt>
                <c:pt idx="44">
                  <c:v>1.953125E-3</c:v>
                </c:pt>
                <c:pt idx="45">
                  <c:v>1.953125E-3</c:v>
                </c:pt>
                <c:pt idx="46">
                  <c:v>1.953125E-3</c:v>
                </c:pt>
                <c:pt idx="47">
                  <c:v>1.953125E-3</c:v>
                </c:pt>
                <c:pt idx="48">
                  <c:v>1.953125E-3</c:v>
                </c:pt>
                <c:pt idx="49">
                  <c:v>1.953125E-3</c:v>
                </c:pt>
                <c:pt idx="50">
                  <c:v>1.953125E-3</c:v>
                </c:pt>
                <c:pt idx="51">
                  <c:v>1.953125E-3</c:v>
                </c:pt>
                <c:pt idx="52">
                  <c:v>1.953125E-3</c:v>
                </c:pt>
                <c:pt idx="53">
                  <c:v>1.953125E-3</c:v>
                </c:pt>
                <c:pt idx="54">
                  <c:v>1.953125E-3</c:v>
                </c:pt>
                <c:pt idx="55">
                  <c:v>1.953125E-3</c:v>
                </c:pt>
                <c:pt idx="56">
                  <c:v>1.953125E-3</c:v>
                </c:pt>
                <c:pt idx="57">
                  <c:v>1.953125E-3</c:v>
                </c:pt>
                <c:pt idx="58">
                  <c:v>1.953125E-3</c:v>
                </c:pt>
                <c:pt idx="59">
                  <c:v>1.953125E-3</c:v>
                </c:pt>
                <c:pt idx="60">
                  <c:v>1.953125E-3</c:v>
                </c:pt>
                <c:pt idx="61">
                  <c:v>1.953125E-3</c:v>
                </c:pt>
                <c:pt idx="62">
                  <c:v>1.953125E-3</c:v>
                </c:pt>
                <c:pt idx="63">
                  <c:v>1.953125E-3</c:v>
                </c:pt>
                <c:pt idx="64">
                  <c:v>1.953125E-3</c:v>
                </c:pt>
                <c:pt idx="65">
                  <c:v>1.953125E-3</c:v>
                </c:pt>
                <c:pt idx="66">
                  <c:v>1.953125E-3</c:v>
                </c:pt>
                <c:pt idx="67">
                  <c:v>1.953125E-3</c:v>
                </c:pt>
                <c:pt idx="68">
                  <c:v>1.953125E-3</c:v>
                </c:pt>
                <c:pt idx="69">
                  <c:v>1.953125E-3</c:v>
                </c:pt>
                <c:pt idx="70">
                  <c:v>1.953125E-3</c:v>
                </c:pt>
                <c:pt idx="71">
                  <c:v>1.953125E-3</c:v>
                </c:pt>
                <c:pt idx="72">
                  <c:v>1.953125E-3</c:v>
                </c:pt>
                <c:pt idx="73">
                  <c:v>1.953125E-3</c:v>
                </c:pt>
                <c:pt idx="74">
                  <c:v>1.953125E-3</c:v>
                </c:pt>
                <c:pt idx="75">
                  <c:v>1.953125E-3</c:v>
                </c:pt>
                <c:pt idx="76">
                  <c:v>1.953125E-3</c:v>
                </c:pt>
                <c:pt idx="77">
                  <c:v>1.953125E-3</c:v>
                </c:pt>
                <c:pt idx="78">
                  <c:v>1.953125E-3</c:v>
                </c:pt>
                <c:pt idx="79">
                  <c:v>1.953125E-3</c:v>
                </c:pt>
                <c:pt idx="80">
                  <c:v>1.953125E-3</c:v>
                </c:pt>
                <c:pt idx="81">
                  <c:v>1.953125E-3</c:v>
                </c:pt>
                <c:pt idx="82">
                  <c:v>1.953125E-3</c:v>
                </c:pt>
                <c:pt idx="83">
                  <c:v>1.953125E-3</c:v>
                </c:pt>
                <c:pt idx="84">
                  <c:v>1.953125E-3</c:v>
                </c:pt>
                <c:pt idx="85">
                  <c:v>1.953125E-3</c:v>
                </c:pt>
                <c:pt idx="86">
                  <c:v>1.953125E-3</c:v>
                </c:pt>
                <c:pt idx="87">
                  <c:v>1.953125E-3</c:v>
                </c:pt>
                <c:pt idx="88">
                  <c:v>1.953125E-3</c:v>
                </c:pt>
                <c:pt idx="89">
                  <c:v>1.953125E-3</c:v>
                </c:pt>
                <c:pt idx="90">
                  <c:v>1.953125E-3</c:v>
                </c:pt>
                <c:pt idx="91">
                  <c:v>1.953125E-3</c:v>
                </c:pt>
                <c:pt idx="92">
                  <c:v>1.953125E-3</c:v>
                </c:pt>
                <c:pt idx="93">
                  <c:v>1.953125E-3</c:v>
                </c:pt>
                <c:pt idx="94">
                  <c:v>1.953125E-3</c:v>
                </c:pt>
                <c:pt idx="95">
                  <c:v>1.953125E-3</c:v>
                </c:pt>
                <c:pt idx="96">
                  <c:v>1.953125E-3</c:v>
                </c:pt>
                <c:pt idx="97">
                  <c:v>1.953125E-3</c:v>
                </c:pt>
                <c:pt idx="98">
                  <c:v>1.953125E-3</c:v>
                </c:pt>
                <c:pt idx="99">
                  <c:v>1.953125E-3</c:v>
                </c:pt>
                <c:pt idx="100">
                  <c:v>1.953125E-3</c:v>
                </c:pt>
                <c:pt idx="101">
                  <c:v>1.953125E-3</c:v>
                </c:pt>
                <c:pt idx="102">
                  <c:v>1.953125E-3</c:v>
                </c:pt>
                <c:pt idx="103">
                  <c:v>1.953125E-3</c:v>
                </c:pt>
                <c:pt idx="104">
                  <c:v>1.953125E-3</c:v>
                </c:pt>
                <c:pt idx="105">
                  <c:v>1.953125E-3</c:v>
                </c:pt>
                <c:pt idx="106">
                  <c:v>1.953125E-3</c:v>
                </c:pt>
                <c:pt idx="107">
                  <c:v>1.953125E-3</c:v>
                </c:pt>
                <c:pt idx="108">
                  <c:v>1.953125E-3</c:v>
                </c:pt>
                <c:pt idx="109">
                  <c:v>1.953125E-3</c:v>
                </c:pt>
                <c:pt idx="110">
                  <c:v>1.953125E-3</c:v>
                </c:pt>
                <c:pt idx="111">
                  <c:v>1.953125E-3</c:v>
                </c:pt>
                <c:pt idx="112">
                  <c:v>1.953125E-3</c:v>
                </c:pt>
                <c:pt idx="113">
                  <c:v>1.953125E-3</c:v>
                </c:pt>
                <c:pt idx="114">
                  <c:v>1.953125E-3</c:v>
                </c:pt>
                <c:pt idx="115">
                  <c:v>1.953125E-3</c:v>
                </c:pt>
                <c:pt idx="116">
                  <c:v>1.953125E-3</c:v>
                </c:pt>
                <c:pt idx="117">
                  <c:v>1.953125E-3</c:v>
                </c:pt>
                <c:pt idx="118">
                  <c:v>1.953125E-3</c:v>
                </c:pt>
                <c:pt idx="119">
                  <c:v>1.953125E-3</c:v>
                </c:pt>
                <c:pt idx="120">
                  <c:v>1.953125E-3</c:v>
                </c:pt>
                <c:pt idx="121">
                  <c:v>1.953125E-3</c:v>
                </c:pt>
                <c:pt idx="122">
                  <c:v>1.953125E-3</c:v>
                </c:pt>
                <c:pt idx="123">
                  <c:v>1.953125E-3</c:v>
                </c:pt>
                <c:pt idx="124">
                  <c:v>1.953125E-3</c:v>
                </c:pt>
                <c:pt idx="125">
                  <c:v>1.953125E-3</c:v>
                </c:pt>
                <c:pt idx="126">
                  <c:v>1.953125E-3</c:v>
                </c:pt>
                <c:pt idx="127">
                  <c:v>1.953125E-3</c:v>
                </c:pt>
                <c:pt idx="128">
                  <c:v>1.953125E-3</c:v>
                </c:pt>
                <c:pt idx="129">
                  <c:v>1.953125E-3</c:v>
                </c:pt>
                <c:pt idx="130">
                  <c:v>1.953125E-3</c:v>
                </c:pt>
                <c:pt idx="131">
                  <c:v>1.953125E-3</c:v>
                </c:pt>
                <c:pt idx="132">
                  <c:v>1.953125E-3</c:v>
                </c:pt>
                <c:pt idx="133">
                  <c:v>1.953125E-3</c:v>
                </c:pt>
                <c:pt idx="134">
                  <c:v>1.953125E-3</c:v>
                </c:pt>
                <c:pt idx="135">
                  <c:v>1.953125E-3</c:v>
                </c:pt>
                <c:pt idx="136">
                  <c:v>1.953125E-3</c:v>
                </c:pt>
                <c:pt idx="137">
                  <c:v>1.953125E-3</c:v>
                </c:pt>
                <c:pt idx="138">
                  <c:v>1.953125E-3</c:v>
                </c:pt>
                <c:pt idx="139">
                  <c:v>1.953125E-3</c:v>
                </c:pt>
                <c:pt idx="140">
                  <c:v>1.953125E-3</c:v>
                </c:pt>
                <c:pt idx="141">
                  <c:v>1.953125E-3</c:v>
                </c:pt>
                <c:pt idx="142">
                  <c:v>1.953125E-3</c:v>
                </c:pt>
                <c:pt idx="143">
                  <c:v>1.953125E-3</c:v>
                </c:pt>
                <c:pt idx="144">
                  <c:v>1.953125E-3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33-9C46-99CF-9AFD424F7A8B}"/>
            </c:ext>
          </c:extLst>
        </c:ser>
        <c:ser>
          <c:idx val="1"/>
          <c:order val="1"/>
          <c:tx>
            <c:strRef>
              <c:f>Sheet1!$D$6:$D$7</c:f>
              <c:strCache>
                <c:ptCount val="2"/>
                <c:pt idx="0">
                  <c:v>Iz(x)</c:v>
                </c:pt>
                <c:pt idx="1">
                  <c:v>(in^4)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Sheet1!$D$8:$D$152</c:f>
              <c:numCache>
                <c:formatCode>0.00E+00</c:formatCode>
                <c:ptCount val="145"/>
                <c:pt idx="0">
                  <c:v>1.220703125E-4</c:v>
                </c:pt>
                <c:pt idx="1">
                  <c:v>1.220703125E-4</c:v>
                </c:pt>
                <c:pt idx="2">
                  <c:v>1.220703125E-4</c:v>
                </c:pt>
                <c:pt idx="3">
                  <c:v>1.220703125E-4</c:v>
                </c:pt>
                <c:pt idx="4">
                  <c:v>1.220703125E-4</c:v>
                </c:pt>
                <c:pt idx="5">
                  <c:v>1.220703125E-4</c:v>
                </c:pt>
                <c:pt idx="6">
                  <c:v>1.220703125E-4</c:v>
                </c:pt>
                <c:pt idx="7">
                  <c:v>1.220703125E-4</c:v>
                </c:pt>
                <c:pt idx="8">
                  <c:v>1.220703125E-4</c:v>
                </c:pt>
                <c:pt idx="9">
                  <c:v>1.220703125E-4</c:v>
                </c:pt>
                <c:pt idx="10">
                  <c:v>1.220703125E-4</c:v>
                </c:pt>
                <c:pt idx="11">
                  <c:v>1.220703125E-4</c:v>
                </c:pt>
                <c:pt idx="12">
                  <c:v>1.220703125E-4</c:v>
                </c:pt>
                <c:pt idx="13">
                  <c:v>1.220703125E-4</c:v>
                </c:pt>
                <c:pt idx="14">
                  <c:v>1.220703125E-4</c:v>
                </c:pt>
                <c:pt idx="15">
                  <c:v>1.220703125E-4</c:v>
                </c:pt>
                <c:pt idx="16">
                  <c:v>1.220703125E-4</c:v>
                </c:pt>
                <c:pt idx="17">
                  <c:v>1.220703125E-4</c:v>
                </c:pt>
                <c:pt idx="18">
                  <c:v>1.220703125E-4</c:v>
                </c:pt>
                <c:pt idx="19">
                  <c:v>1.220703125E-4</c:v>
                </c:pt>
                <c:pt idx="20">
                  <c:v>1.220703125E-4</c:v>
                </c:pt>
                <c:pt idx="21">
                  <c:v>1.220703125E-4</c:v>
                </c:pt>
                <c:pt idx="22">
                  <c:v>1.220703125E-4</c:v>
                </c:pt>
                <c:pt idx="23">
                  <c:v>1.220703125E-4</c:v>
                </c:pt>
                <c:pt idx="24">
                  <c:v>1.220703125E-4</c:v>
                </c:pt>
                <c:pt idx="25">
                  <c:v>1.220703125E-4</c:v>
                </c:pt>
                <c:pt idx="26">
                  <c:v>1.220703125E-4</c:v>
                </c:pt>
                <c:pt idx="27">
                  <c:v>1.220703125E-4</c:v>
                </c:pt>
                <c:pt idx="28">
                  <c:v>1.220703125E-4</c:v>
                </c:pt>
                <c:pt idx="29">
                  <c:v>1.220703125E-4</c:v>
                </c:pt>
                <c:pt idx="30">
                  <c:v>1.220703125E-4</c:v>
                </c:pt>
                <c:pt idx="31">
                  <c:v>1.220703125E-4</c:v>
                </c:pt>
                <c:pt idx="32">
                  <c:v>1.220703125E-4</c:v>
                </c:pt>
                <c:pt idx="33">
                  <c:v>1.220703125E-4</c:v>
                </c:pt>
                <c:pt idx="34">
                  <c:v>1.220703125E-4</c:v>
                </c:pt>
                <c:pt idx="35">
                  <c:v>1.220703125E-4</c:v>
                </c:pt>
                <c:pt idx="36">
                  <c:v>1.220703125E-4</c:v>
                </c:pt>
                <c:pt idx="37">
                  <c:v>1.220703125E-4</c:v>
                </c:pt>
                <c:pt idx="38">
                  <c:v>1.220703125E-4</c:v>
                </c:pt>
                <c:pt idx="39">
                  <c:v>1.220703125E-4</c:v>
                </c:pt>
                <c:pt idx="40">
                  <c:v>1.220703125E-4</c:v>
                </c:pt>
                <c:pt idx="41">
                  <c:v>1.220703125E-4</c:v>
                </c:pt>
                <c:pt idx="42">
                  <c:v>1.220703125E-4</c:v>
                </c:pt>
                <c:pt idx="43">
                  <c:v>1.220703125E-4</c:v>
                </c:pt>
                <c:pt idx="44">
                  <c:v>1.220703125E-4</c:v>
                </c:pt>
                <c:pt idx="45">
                  <c:v>1.220703125E-4</c:v>
                </c:pt>
                <c:pt idx="46">
                  <c:v>1.220703125E-4</c:v>
                </c:pt>
                <c:pt idx="47">
                  <c:v>1.220703125E-4</c:v>
                </c:pt>
                <c:pt idx="48">
                  <c:v>1.220703125E-4</c:v>
                </c:pt>
                <c:pt idx="49">
                  <c:v>1.220703125E-4</c:v>
                </c:pt>
                <c:pt idx="50">
                  <c:v>1.220703125E-4</c:v>
                </c:pt>
                <c:pt idx="51">
                  <c:v>1.220703125E-4</c:v>
                </c:pt>
                <c:pt idx="52">
                  <c:v>1.220703125E-4</c:v>
                </c:pt>
                <c:pt idx="53">
                  <c:v>1.220703125E-4</c:v>
                </c:pt>
                <c:pt idx="54">
                  <c:v>1.220703125E-4</c:v>
                </c:pt>
                <c:pt idx="55">
                  <c:v>1.220703125E-4</c:v>
                </c:pt>
                <c:pt idx="56">
                  <c:v>1.220703125E-4</c:v>
                </c:pt>
                <c:pt idx="57">
                  <c:v>1.220703125E-4</c:v>
                </c:pt>
                <c:pt idx="58">
                  <c:v>1.220703125E-4</c:v>
                </c:pt>
                <c:pt idx="59">
                  <c:v>1.220703125E-4</c:v>
                </c:pt>
                <c:pt idx="60">
                  <c:v>1.220703125E-4</c:v>
                </c:pt>
                <c:pt idx="61">
                  <c:v>1.220703125E-4</c:v>
                </c:pt>
                <c:pt idx="62">
                  <c:v>1.220703125E-4</c:v>
                </c:pt>
                <c:pt idx="63">
                  <c:v>1.220703125E-4</c:v>
                </c:pt>
                <c:pt idx="64">
                  <c:v>1.220703125E-4</c:v>
                </c:pt>
                <c:pt idx="65">
                  <c:v>1.220703125E-4</c:v>
                </c:pt>
                <c:pt idx="66">
                  <c:v>1.220703125E-4</c:v>
                </c:pt>
                <c:pt idx="67">
                  <c:v>1.220703125E-4</c:v>
                </c:pt>
                <c:pt idx="68">
                  <c:v>1.220703125E-4</c:v>
                </c:pt>
                <c:pt idx="69">
                  <c:v>1.220703125E-4</c:v>
                </c:pt>
                <c:pt idx="70">
                  <c:v>1.220703125E-4</c:v>
                </c:pt>
                <c:pt idx="71">
                  <c:v>1.220703125E-4</c:v>
                </c:pt>
                <c:pt idx="72">
                  <c:v>1.220703125E-4</c:v>
                </c:pt>
                <c:pt idx="73">
                  <c:v>1.220703125E-4</c:v>
                </c:pt>
                <c:pt idx="74">
                  <c:v>1.220703125E-4</c:v>
                </c:pt>
                <c:pt idx="75">
                  <c:v>1.220703125E-4</c:v>
                </c:pt>
                <c:pt idx="76">
                  <c:v>1.220703125E-4</c:v>
                </c:pt>
                <c:pt idx="77">
                  <c:v>1.220703125E-4</c:v>
                </c:pt>
                <c:pt idx="78">
                  <c:v>1.220703125E-4</c:v>
                </c:pt>
                <c:pt idx="79">
                  <c:v>1.220703125E-4</c:v>
                </c:pt>
                <c:pt idx="80">
                  <c:v>1.220703125E-4</c:v>
                </c:pt>
                <c:pt idx="81">
                  <c:v>1.220703125E-4</c:v>
                </c:pt>
                <c:pt idx="82">
                  <c:v>1.220703125E-4</c:v>
                </c:pt>
                <c:pt idx="83">
                  <c:v>1.220703125E-4</c:v>
                </c:pt>
                <c:pt idx="84">
                  <c:v>1.220703125E-4</c:v>
                </c:pt>
                <c:pt idx="85">
                  <c:v>1.220703125E-4</c:v>
                </c:pt>
                <c:pt idx="86">
                  <c:v>1.220703125E-4</c:v>
                </c:pt>
                <c:pt idx="87">
                  <c:v>1.220703125E-4</c:v>
                </c:pt>
                <c:pt idx="88">
                  <c:v>1.220703125E-4</c:v>
                </c:pt>
                <c:pt idx="89">
                  <c:v>1.220703125E-4</c:v>
                </c:pt>
                <c:pt idx="90">
                  <c:v>1.220703125E-4</c:v>
                </c:pt>
                <c:pt idx="91">
                  <c:v>1.220703125E-4</c:v>
                </c:pt>
                <c:pt idx="92">
                  <c:v>1.220703125E-4</c:v>
                </c:pt>
                <c:pt idx="93">
                  <c:v>1.220703125E-4</c:v>
                </c:pt>
                <c:pt idx="94">
                  <c:v>1.220703125E-4</c:v>
                </c:pt>
                <c:pt idx="95">
                  <c:v>1.220703125E-4</c:v>
                </c:pt>
                <c:pt idx="96">
                  <c:v>1.220703125E-4</c:v>
                </c:pt>
                <c:pt idx="97">
                  <c:v>1.220703125E-4</c:v>
                </c:pt>
                <c:pt idx="98">
                  <c:v>1.220703125E-4</c:v>
                </c:pt>
                <c:pt idx="99">
                  <c:v>1.220703125E-4</c:v>
                </c:pt>
                <c:pt idx="100">
                  <c:v>1.220703125E-4</c:v>
                </c:pt>
                <c:pt idx="101">
                  <c:v>1.220703125E-4</c:v>
                </c:pt>
                <c:pt idx="102">
                  <c:v>1.220703125E-4</c:v>
                </c:pt>
                <c:pt idx="103">
                  <c:v>1.220703125E-4</c:v>
                </c:pt>
                <c:pt idx="104">
                  <c:v>1.220703125E-4</c:v>
                </c:pt>
                <c:pt idx="105">
                  <c:v>1.220703125E-4</c:v>
                </c:pt>
                <c:pt idx="106">
                  <c:v>1.220703125E-4</c:v>
                </c:pt>
                <c:pt idx="107">
                  <c:v>1.220703125E-4</c:v>
                </c:pt>
                <c:pt idx="108">
                  <c:v>1.220703125E-4</c:v>
                </c:pt>
                <c:pt idx="109">
                  <c:v>1.220703125E-4</c:v>
                </c:pt>
                <c:pt idx="110">
                  <c:v>1.220703125E-4</c:v>
                </c:pt>
                <c:pt idx="111">
                  <c:v>1.220703125E-4</c:v>
                </c:pt>
                <c:pt idx="112">
                  <c:v>1.220703125E-4</c:v>
                </c:pt>
                <c:pt idx="113">
                  <c:v>1.220703125E-4</c:v>
                </c:pt>
                <c:pt idx="114">
                  <c:v>1.220703125E-4</c:v>
                </c:pt>
                <c:pt idx="115">
                  <c:v>1.220703125E-4</c:v>
                </c:pt>
                <c:pt idx="116">
                  <c:v>1.220703125E-4</c:v>
                </c:pt>
                <c:pt idx="117">
                  <c:v>1.220703125E-4</c:v>
                </c:pt>
                <c:pt idx="118">
                  <c:v>1.220703125E-4</c:v>
                </c:pt>
                <c:pt idx="119">
                  <c:v>1.220703125E-4</c:v>
                </c:pt>
                <c:pt idx="120">
                  <c:v>1.220703125E-4</c:v>
                </c:pt>
                <c:pt idx="121">
                  <c:v>1.220703125E-4</c:v>
                </c:pt>
                <c:pt idx="122">
                  <c:v>1.220703125E-4</c:v>
                </c:pt>
                <c:pt idx="123">
                  <c:v>1.220703125E-4</c:v>
                </c:pt>
                <c:pt idx="124">
                  <c:v>1.220703125E-4</c:v>
                </c:pt>
                <c:pt idx="125">
                  <c:v>1.220703125E-4</c:v>
                </c:pt>
                <c:pt idx="126">
                  <c:v>1.220703125E-4</c:v>
                </c:pt>
                <c:pt idx="127">
                  <c:v>1.220703125E-4</c:v>
                </c:pt>
                <c:pt idx="128">
                  <c:v>1.220703125E-4</c:v>
                </c:pt>
                <c:pt idx="129">
                  <c:v>1.220703125E-4</c:v>
                </c:pt>
                <c:pt idx="130">
                  <c:v>1.220703125E-4</c:v>
                </c:pt>
                <c:pt idx="131">
                  <c:v>1.220703125E-4</c:v>
                </c:pt>
                <c:pt idx="132">
                  <c:v>1.220703125E-4</c:v>
                </c:pt>
                <c:pt idx="133">
                  <c:v>1.220703125E-4</c:v>
                </c:pt>
                <c:pt idx="134">
                  <c:v>1.220703125E-4</c:v>
                </c:pt>
                <c:pt idx="135">
                  <c:v>1.220703125E-4</c:v>
                </c:pt>
                <c:pt idx="136">
                  <c:v>1.220703125E-4</c:v>
                </c:pt>
                <c:pt idx="137">
                  <c:v>1.220703125E-4</c:v>
                </c:pt>
                <c:pt idx="138">
                  <c:v>1.220703125E-4</c:v>
                </c:pt>
                <c:pt idx="139">
                  <c:v>1.220703125E-4</c:v>
                </c:pt>
                <c:pt idx="140">
                  <c:v>1.220703125E-4</c:v>
                </c:pt>
                <c:pt idx="141">
                  <c:v>1.220703125E-4</c:v>
                </c:pt>
                <c:pt idx="142">
                  <c:v>1.220703125E-4</c:v>
                </c:pt>
                <c:pt idx="143">
                  <c:v>1.220703125E-4</c:v>
                </c:pt>
                <c:pt idx="144">
                  <c:v>1.220703125E-4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33-9C46-99CF-9AFD424F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  <c:max val="2E-3"/>
        </c:scaling>
        <c:delete val="0"/>
        <c:axPos val="l"/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65281556055149537"/>
          <c:y val="9.6517935258092755E-2"/>
          <c:w val="0.31745355617379678"/>
          <c:h val="0.1824005843249872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718336978710994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Sheet1!$G$6:$G$7</c:f>
              <c:strCache>
                <c:ptCount val="2"/>
                <c:pt idx="0">
                  <c:v>Mz(x)</c:v>
                </c:pt>
                <c:pt idx="1">
                  <c:v>(lb-in)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Sheet1!$G$8:$G$152</c:f>
              <c:numCache>
                <c:formatCode>0.00</c:formatCode>
                <c:ptCount val="145"/>
                <c:pt idx="0">
                  <c:v>0</c:v>
                </c:pt>
                <c:pt idx="1">
                  <c:v>0.32500000000000001</c:v>
                </c:pt>
                <c:pt idx="2">
                  <c:v>0.65</c:v>
                </c:pt>
                <c:pt idx="3">
                  <c:v>0.97500000000000009</c:v>
                </c:pt>
                <c:pt idx="4">
                  <c:v>1.3</c:v>
                </c:pt>
                <c:pt idx="5">
                  <c:v>1.625</c:v>
                </c:pt>
                <c:pt idx="6">
                  <c:v>1.9500000000000002</c:v>
                </c:pt>
                <c:pt idx="7">
                  <c:v>2.2749999999999999</c:v>
                </c:pt>
                <c:pt idx="8">
                  <c:v>2.6</c:v>
                </c:pt>
                <c:pt idx="9">
                  <c:v>2.9250000000000003</c:v>
                </c:pt>
                <c:pt idx="10">
                  <c:v>3.25</c:v>
                </c:pt>
                <c:pt idx="11">
                  <c:v>3.5750000000000002</c:v>
                </c:pt>
                <c:pt idx="12">
                  <c:v>3.9000000000000004</c:v>
                </c:pt>
                <c:pt idx="13">
                  <c:v>4.2250000000000005</c:v>
                </c:pt>
                <c:pt idx="14">
                  <c:v>4.55</c:v>
                </c:pt>
                <c:pt idx="15">
                  <c:v>4.875</c:v>
                </c:pt>
                <c:pt idx="16">
                  <c:v>5.2</c:v>
                </c:pt>
                <c:pt idx="17">
                  <c:v>5.5250000000000004</c:v>
                </c:pt>
                <c:pt idx="18">
                  <c:v>5.8500000000000005</c:v>
                </c:pt>
                <c:pt idx="19">
                  <c:v>6.1749999999999998</c:v>
                </c:pt>
                <c:pt idx="20">
                  <c:v>6.5</c:v>
                </c:pt>
                <c:pt idx="21">
                  <c:v>6.8250000000000002</c:v>
                </c:pt>
                <c:pt idx="22">
                  <c:v>7.15</c:v>
                </c:pt>
                <c:pt idx="23">
                  <c:v>7.4750000000000005</c:v>
                </c:pt>
                <c:pt idx="24">
                  <c:v>7.8000000000000007</c:v>
                </c:pt>
                <c:pt idx="25">
                  <c:v>8.125</c:v>
                </c:pt>
                <c:pt idx="26">
                  <c:v>8.4500000000000011</c:v>
                </c:pt>
                <c:pt idx="27">
                  <c:v>8.7750000000000004</c:v>
                </c:pt>
                <c:pt idx="28">
                  <c:v>9.1</c:v>
                </c:pt>
                <c:pt idx="29">
                  <c:v>9.4250000000000007</c:v>
                </c:pt>
                <c:pt idx="30">
                  <c:v>9.75</c:v>
                </c:pt>
                <c:pt idx="31">
                  <c:v>10.075000000000001</c:v>
                </c:pt>
                <c:pt idx="32">
                  <c:v>10.4</c:v>
                </c:pt>
                <c:pt idx="33">
                  <c:v>10.725</c:v>
                </c:pt>
                <c:pt idx="34">
                  <c:v>11.05</c:v>
                </c:pt>
                <c:pt idx="35">
                  <c:v>11.375</c:v>
                </c:pt>
                <c:pt idx="36">
                  <c:v>11.700000000000001</c:v>
                </c:pt>
                <c:pt idx="37">
                  <c:v>12.025</c:v>
                </c:pt>
                <c:pt idx="38">
                  <c:v>12.35</c:v>
                </c:pt>
                <c:pt idx="39">
                  <c:v>12.675000000000001</c:v>
                </c:pt>
                <c:pt idx="40">
                  <c:v>13</c:v>
                </c:pt>
                <c:pt idx="41">
                  <c:v>13.325000000000001</c:v>
                </c:pt>
                <c:pt idx="42">
                  <c:v>13.65</c:v>
                </c:pt>
                <c:pt idx="43">
                  <c:v>13.975</c:v>
                </c:pt>
                <c:pt idx="44">
                  <c:v>14.3</c:v>
                </c:pt>
                <c:pt idx="45">
                  <c:v>14.625</c:v>
                </c:pt>
                <c:pt idx="46">
                  <c:v>14.950000000000001</c:v>
                </c:pt>
                <c:pt idx="47">
                  <c:v>15.275</c:v>
                </c:pt>
                <c:pt idx="48">
                  <c:v>15.600000000000001</c:v>
                </c:pt>
                <c:pt idx="49">
                  <c:v>15.925000000000001</c:v>
                </c:pt>
                <c:pt idx="50">
                  <c:v>16.25</c:v>
                </c:pt>
                <c:pt idx="51">
                  <c:v>16.574999999999999</c:v>
                </c:pt>
                <c:pt idx="52">
                  <c:v>16.900000000000002</c:v>
                </c:pt>
                <c:pt idx="53">
                  <c:v>17.225000000000001</c:v>
                </c:pt>
                <c:pt idx="54">
                  <c:v>17.55</c:v>
                </c:pt>
                <c:pt idx="55">
                  <c:v>17.875</c:v>
                </c:pt>
                <c:pt idx="56">
                  <c:v>18.2</c:v>
                </c:pt>
                <c:pt idx="57">
                  <c:v>18.525000000000002</c:v>
                </c:pt>
                <c:pt idx="58">
                  <c:v>18.850000000000001</c:v>
                </c:pt>
                <c:pt idx="59">
                  <c:v>19.175000000000001</c:v>
                </c:pt>
                <c:pt idx="60">
                  <c:v>19.5</c:v>
                </c:pt>
                <c:pt idx="61">
                  <c:v>19.824999999999999</c:v>
                </c:pt>
                <c:pt idx="62">
                  <c:v>20.150000000000002</c:v>
                </c:pt>
                <c:pt idx="63">
                  <c:v>20.475000000000001</c:v>
                </c:pt>
                <c:pt idx="64">
                  <c:v>20.8</c:v>
                </c:pt>
                <c:pt idx="65">
                  <c:v>21.125</c:v>
                </c:pt>
                <c:pt idx="66">
                  <c:v>21.45</c:v>
                </c:pt>
                <c:pt idx="67">
                  <c:v>21.775000000000002</c:v>
                </c:pt>
                <c:pt idx="68">
                  <c:v>22.1</c:v>
                </c:pt>
                <c:pt idx="69">
                  <c:v>22.425000000000001</c:v>
                </c:pt>
                <c:pt idx="70">
                  <c:v>22.75</c:v>
                </c:pt>
                <c:pt idx="71">
                  <c:v>23.074999999999999</c:v>
                </c:pt>
                <c:pt idx="72">
                  <c:v>23.400000000000002</c:v>
                </c:pt>
                <c:pt idx="73">
                  <c:v>23.075000000000003</c:v>
                </c:pt>
                <c:pt idx="74">
                  <c:v>22.75</c:v>
                </c:pt>
                <c:pt idx="75">
                  <c:v>22.425000000000001</c:v>
                </c:pt>
                <c:pt idx="76">
                  <c:v>22.099999999999998</c:v>
                </c:pt>
                <c:pt idx="77">
                  <c:v>21.775000000000002</c:v>
                </c:pt>
                <c:pt idx="78">
                  <c:v>21.450000000000003</c:v>
                </c:pt>
                <c:pt idx="79">
                  <c:v>21.125</c:v>
                </c:pt>
                <c:pt idx="80">
                  <c:v>20.8</c:v>
                </c:pt>
                <c:pt idx="81">
                  <c:v>20.474999999999998</c:v>
                </c:pt>
                <c:pt idx="82">
                  <c:v>20.150000000000002</c:v>
                </c:pt>
                <c:pt idx="83">
                  <c:v>19.825000000000003</c:v>
                </c:pt>
                <c:pt idx="84">
                  <c:v>19.5</c:v>
                </c:pt>
                <c:pt idx="85">
                  <c:v>19.174999999999997</c:v>
                </c:pt>
                <c:pt idx="86">
                  <c:v>18.850000000000001</c:v>
                </c:pt>
                <c:pt idx="87">
                  <c:v>18.525000000000002</c:v>
                </c:pt>
                <c:pt idx="88">
                  <c:v>18.200000000000003</c:v>
                </c:pt>
                <c:pt idx="89">
                  <c:v>17.875</c:v>
                </c:pt>
                <c:pt idx="90">
                  <c:v>17.549999999999997</c:v>
                </c:pt>
                <c:pt idx="91">
                  <c:v>17.225000000000001</c:v>
                </c:pt>
                <c:pt idx="92">
                  <c:v>16.900000000000002</c:v>
                </c:pt>
                <c:pt idx="93">
                  <c:v>16.575000000000003</c:v>
                </c:pt>
                <c:pt idx="94">
                  <c:v>16.25</c:v>
                </c:pt>
                <c:pt idx="95">
                  <c:v>15.924999999999999</c:v>
                </c:pt>
                <c:pt idx="96">
                  <c:v>15.600000000000001</c:v>
                </c:pt>
                <c:pt idx="97">
                  <c:v>15.275000000000002</c:v>
                </c:pt>
                <c:pt idx="98">
                  <c:v>14.95</c:v>
                </c:pt>
                <c:pt idx="99">
                  <c:v>14.625000000000004</c:v>
                </c:pt>
                <c:pt idx="100">
                  <c:v>14.3</c:v>
                </c:pt>
                <c:pt idx="101">
                  <c:v>13.975000000000001</c:v>
                </c:pt>
                <c:pt idx="102">
                  <c:v>13.649999999999999</c:v>
                </c:pt>
                <c:pt idx="103">
                  <c:v>13.324999999999999</c:v>
                </c:pt>
                <c:pt idx="104">
                  <c:v>13.000000000000004</c:v>
                </c:pt>
                <c:pt idx="105">
                  <c:v>12.675000000000001</c:v>
                </c:pt>
                <c:pt idx="106">
                  <c:v>12.350000000000001</c:v>
                </c:pt>
                <c:pt idx="107">
                  <c:v>12.024999999999999</c:v>
                </c:pt>
                <c:pt idx="108">
                  <c:v>11.7</c:v>
                </c:pt>
                <c:pt idx="109">
                  <c:v>11.375000000000004</c:v>
                </c:pt>
                <c:pt idx="110">
                  <c:v>11.05</c:v>
                </c:pt>
                <c:pt idx="111">
                  <c:v>10.725000000000001</c:v>
                </c:pt>
                <c:pt idx="112">
                  <c:v>10.399999999999999</c:v>
                </c:pt>
                <c:pt idx="113">
                  <c:v>10.074999999999999</c:v>
                </c:pt>
                <c:pt idx="114">
                  <c:v>9.7500000000000036</c:v>
                </c:pt>
                <c:pt idx="115">
                  <c:v>9.4250000000000007</c:v>
                </c:pt>
                <c:pt idx="116">
                  <c:v>9.1000000000000014</c:v>
                </c:pt>
                <c:pt idx="117">
                  <c:v>8.7749999999999986</c:v>
                </c:pt>
                <c:pt idx="118">
                  <c:v>8.4499999999999993</c:v>
                </c:pt>
                <c:pt idx="119">
                  <c:v>8.1250000000000036</c:v>
                </c:pt>
                <c:pt idx="120">
                  <c:v>7.7999999999999972</c:v>
                </c:pt>
                <c:pt idx="121">
                  <c:v>7.4750000000000014</c:v>
                </c:pt>
                <c:pt idx="122">
                  <c:v>7.1499999999999986</c:v>
                </c:pt>
                <c:pt idx="123">
                  <c:v>6.8250000000000028</c:v>
                </c:pt>
                <c:pt idx="124">
                  <c:v>6.5</c:v>
                </c:pt>
                <c:pt idx="125">
                  <c:v>6.1749999999999972</c:v>
                </c:pt>
                <c:pt idx="126">
                  <c:v>5.8500000000000014</c:v>
                </c:pt>
                <c:pt idx="127">
                  <c:v>5.5249999999999986</c:v>
                </c:pt>
                <c:pt idx="128">
                  <c:v>5.2000000000000028</c:v>
                </c:pt>
                <c:pt idx="129">
                  <c:v>4.875</c:v>
                </c:pt>
                <c:pt idx="130">
                  <c:v>4.5499999999999972</c:v>
                </c:pt>
                <c:pt idx="131">
                  <c:v>4.2250000000000014</c:v>
                </c:pt>
                <c:pt idx="132">
                  <c:v>3.8999999999999986</c:v>
                </c:pt>
                <c:pt idx="133">
                  <c:v>3.5750000000000028</c:v>
                </c:pt>
                <c:pt idx="134">
                  <c:v>3.25</c:v>
                </c:pt>
                <c:pt idx="135">
                  <c:v>2.9249999999999972</c:v>
                </c:pt>
                <c:pt idx="136">
                  <c:v>2.6000000000000014</c:v>
                </c:pt>
                <c:pt idx="137">
                  <c:v>2.2749999999999986</c:v>
                </c:pt>
                <c:pt idx="138">
                  <c:v>1.9500000000000028</c:v>
                </c:pt>
                <c:pt idx="139">
                  <c:v>1.625</c:v>
                </c:pt>
                <c:pt idx="140">
                  <c:v>1.2999999999999972</c:v>
                </c:pt>
                <c:pt idx="141">
                  <c:v>0.97500000000000142</c:v>
                </c:pt>
                <c:pt idx="142">
                  <c:v>0.64999999999999858</c:v>
                </c:pt>
                <c:pt idx="143">
                  <c:v>0.32500000000000284</c:v>
                </c:pt>
                <c:pt idx="1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05-7843-8FE1-444A08A07275}"/>
            </c:ext>
          </c:extLst>
        </c:ser>
        <c:ser>
          <c:idx val="4"/>
          <c:order val="1"/>
          <c:tx>
            <c:strRef>
              <c:f>Sheet1!$F$6:$F$7</c:f>
              <c:strCache>
                <c:ptCount val="2"/>
                <c:pt idx="0">
                  <c:v>Vy(x)</c:v>
                </c:pt>
                <c:pt idx="1">
                  <c:v>(lb)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Sheet1!$F$8:$F$152</c:f>
              <c:numCache>
                <c:formatCode>0.00E+00</c:formatCode>
                <c:ptCount val="145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</c:v>
                </c:pt>
                <c:pt idx="32">
                  <c:v>1.3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1.3</c:v>
                </c:pt>
                <c:pt idx="64">
                  <c:v>1.3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-1.3</c:v>
                </c:pt>
                <c:pt idx="73">
                  <c:v>-1.3</c:v>
                </c:pt>
                <c:pt idx="74">
                  <c:v>-1.3</c:v>
                </c:pt>
                <c:pt idx="75">
                  <c:v>-1.3</c:v>
                </c:pt>
                <c:pt idx="76">
                  <c:v>-1.3</c:v>
                </c:pt>
                <c:pt idx="77">
                  <c:v>-1.3</c:v>
                </c:pt>
                <c:pt idx="78">
                  <c:v>-1.3</c:v>
                </c:pt>
                <c:pt idx="79">
                  <c:v>-1.3</c:v>
                </c:pt>
                <c:pt idx="80">
                  <c:v>-1.3</c:v>
                </c:pt>
                <c:pt idx="81">
                  <c:v>-1.3</c:v>
                </c:pt>
                <c:pt idx="82">
                  <c:v>-1.3</c:v>
                </c:pt>
                <c:pt idx="83">
                  <c:v>-1.3</c:v>
                </c:pt>
                <c:pt idx="84">
                  <c:v>-1.3</c:v>
                </c:pt>
                <c:pt idx="85">
                  <c:v>-1.3</c:v>
                </c:pt>
                <c:pt idx="86">
                  <c:v>-1.3</c:v>
                </c:pt>
                <c:pt idx="87">
                  <c:v>-1.3</c:v>
                </c:pt>
                <c:pt idx="88">
                  <c:v>-1.3</c:v>
                </c:pt>
                <c:pt idx="89">
                  <c:v>-1.3</c:v>
                </c:pt>
                <c:pt idx="90">
                  <c:v>-1.3</c:v>
                </c:pt>
                <c:pt idx="91">
                  <c:v>-1.3</c:v>
                </c:pt>
                <c:pt idx="92">
                  <c:v>-1.3</c:v>
                </c:pt>
                <c:pt idx="93">
                  <c:v>-1.3</c:v>
                </c:pt>
                <c:pt idx="94">
                  <c:v>-1.3</c:v>
                </c:pt>
                <c:pt idx="95">
                  <c:v>-1.3</c:v>
                </c:pt>
                <c:pt idx="96">
                  <c:v>-1.3</c:v>
                </c:pt>
                <c:pt idx="97">
                  <c:v>-1.3</c:v>
                </c:pt>
                <c:pt idx="98">
                  <c:v>-1.3</c:v>
                </c:pt>
                <c:pt idx="99">
                  <c:v>-1.3</c:v>
                </c:pt>
                <c:pt idx="100">
                  <c:v>-1.3</c:v>
                </c:pt>
                <c:pt idx="101">
                  <c:v>-1.3</c:v>
                </c:pt>
                <c:pt idx="102">
                  <c:v>-1.3</c:v>
                </c:pt>
                <c:pt idx="103">
                  <c:v>-1.3</c:v>
                </c:pt>
                <c:pt idx="104">
                  <c:v>-1.3</c:v>
                </c:pt>
                <c:pt idx="105">
                  <c:v>-1.3</c:v>
                </c:pt>
                <c:pt idx="106">
                  <c:v>-1.3</c:v>
                </c:pt>
                <c:pt idx="107">
                  <c:v>-1.3</c:v>
                </c:pt>
                <c:pt idx="108">
                  <c:v>-1.3</c:v>
                </c:pt>
                <c:pt idx="109">
                  <c:v>-1.3</c:v>
                </c:pt>
                <c:pt idx="110">
                  <c:v>-1.3</c:v>
                </c:pt>
                <c:pt idx="111">
                  <c:v>-1.3</c:v>
                </c:pt>
                <c:pt idx="112">
                  <c:v>-1.3</c:v>
                </c:pt>
                <c:pt idx="113">
                  <c:v>-1.3</c:v>
                </c:pt>
                <c:pt idx="114">
                  <c:v>-1.3</c:v>
                </c:pt>
                <c:pt idx="115">
                  <c:v>-1.3</c:v>
                </c:pt>
                <c:pt idx="116">
                  <c:v>-1.3</c:v>
                </c:pt>
                <c:pt idx="117">
                  <c:v>-1.3</c:v>
                </c:pt>
                <c:pt idx="118">
                  <c:v>-1.3</c:v>
                </c:pt>
                <c:pt idx="119">
                  <c:v>-1.3</c:v>
                </c:pt>
                <c:pt idx="120">
                  <c:v>-1.3</c:v>
                </c:pt>
                <c:pt idx="121">
                  <c:v>-1.3</c:v>
                </c:pt>
                <c:pt idx="122">
                  <c:v>-1.3</c:v>
                </c:pt>
                <c:pt idx="123">
                  <c:v>-1.3</c:v>
                </c:pt>
                <c:pt idx="124">
                  <c:v>-1.3</c:v>
                </c:pt>
                <c:pt idx="125">
                  <c:v>-1.3</c:v>
                </c:pt>
                <c:pt idx="126">
                  <c:v>-1.3</c:v>
                </c:pt>
                <c:pt idx="127">
                  <c:v>-1.3</c:v>
                </c:pt>
                <c:pt idx="128">
                  <c:v>-1.3</c:v>
                </c:pt>
                <c:pt idx="129">
                  <c:v>-1.3</c:v>
                </c:pt>
                <c:pt idx="130">
                  <c:v>-1.3</c:v>
                </c:pt>
                <c:pt idx="131">
                  <c:v>-1.3</c:v>
                </c:pt>
                <c:pt idx="132">
                  <c:v>-1.3</c:v>
                </c:pt>
                <c:pt idx="133">
                  <c:v>-1.3</c:v>
                </c:pt>
                <c:pt idx="134">
                  <c:v>-1.3</c:v>
                </c:pt>
                <c:pt idx="135">
                  <c:v>-1.3</c:v>
                </c:pt>
                <c:pt idx="136">
                  <c:v>-1.3</c:v>
                </c:pt>
                <c:pt idx="137">
                  <c:v>-1.3</c:v>
                </c:pt>
                <c:pt idx="138">
                  <c:v>-1.3</c:v>
                </c:pt>
                <c:pt idx="139">
                  <c:v>-1.3</c:v>
                </c:pt>
                <c:pt idx="140">
                  <c:v>-1.3</c:v>
                </c:pt>
                <c:pt idx="141">
                  <c:v>-1.3</c:v>
                </c:pt>
                <c:pt idx="142">
                  <c:v>-1.3</c:v>
                </c:pt>
                <c:pt idx="143">
                  <c:v>-1.3</c:v>
                </c:pt>
                <c:pt idx="1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05-7843-8FE1-444A08A0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835540978387082"/>
          <c:y val="1.1221930592009335E-2"/>
          <c:w val="0.36417324389993377"/>
          <c:h val="0.1905191017789442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7183369787109944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Sheet1!$I$6:$I$7</c:f>
              <c:strCache>
                <c:ptCount val="2"/>
                <c:pt idx="0">
                  <c:v>FOS</c:v>
                </c:pt>
                <c:pt idx="1">
                  <c:v>(--)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Sheet1!$I$8:$I$152</c:f>
              <c:numCache>
                <c:formatCode>0.00</c:formatCode>
                <c:ptCount val="145"/>
                <c:pt idx="0">
                  <c:v>0</c:v>
                </c:pt>
                <c:pt idx="1">
                  <c:v>222.35576923076923</c:v>
                </c:pt>
                <c:pt idx="2">
                  <c:v>111.17788461538461</c:v>
                </c:pt>
                <c:pt idx="3">
                  <c:v>74.118589743589737</c:v>
                </c:pt>
                <c:pt idx="4">
                  <c:v>55.588942307692307</c:v>
                </c:pt>
                <c:pt idx="5">
                  <c:v>44.471153846153847</c:v>
                </c:pt>
                <c:pt idx="6">
                  <c:v>37.059294871794869</c:v>
                </c:pt>
                <c:pt idx="7">
                  <c:v>31.765109890109891</c:v>
                </c:pt>
                <c:pt idx="8">
                  <c:v>27.794471153846153</c:v>
                </c:pt>
                <c:pt idx="9">
                  <c:v>24.706196581196579</c:v>
                </c:pt>
                <c:pt idx="10">
                  <c:v>22.235576923076923</c:v>
                </c:pt>
                <c:pt idx="11">
                  <c:v>20.214160839160837</c:v>
                </c:pt>
                <c:pt idx="12">
                  <c:v>18.529647435897434</c:v>
                </c:pt>
                <c:pt idx="13">
                  <c:v>17.104289940828401</c:v>
                </c:pt>
                <c:pt idx="14">
                  <c:v>15.882554945054945</c:v>
                </c:pt>
                <c:pt idx="15">
                  <c:v>14.823717948717949</c:v>
                </c:pt>
                <c:pt idx="16">
                  <c:v>13.897235576923077</c:v>
                </c:pt>
                <c:pt idx="17">
                  <c:v>13.079751131221718</c:v>
                </c:pt>
                <c:pt idx="18">
                  <c:v>12.35309829059829</c:v>
                </c:pt>
                <c:pt idx="19">
                  <c:v>11.702935222672066</c:v>
                </c:pt>
                <c:pt idx="20">
                  <c:v>11.117788461538462</c:v>
                </c:pt>
                <c:pt idx="21">
                  <c:v>10.588369963369964</c:v>
                </c:pt>
                <c:pt idx="22">
                  <c:v>10.107080419580418</c:v>
                </c:pt>
                <c:pt idx="23">
                  <c:v>9.6676421404682262</c:v>
                </c:pt>
                <c:pt idx="24">
                  <c:v>9.2648237179487172</c:v>
                </c:pt>
                <c:pt idx="25">
                  <c:v>8.8942307692307701</c:v>
                </c:pt>
                <c:pt idx="26">
                  <c:v>8.5521449704142007</c:v>
                </c:pt>
                <c:pt idx="27">
                  <c:v>8.2353988603988597</c:v>
                </c:pt>
                <c:pt idx="28">
                  <c:v>7.9412774725274726</c:v>
                </c:pt>
                <c:pt idx="29">
                  <c:v>7.6674403183023863</c:v>
                </c:pt>
                <c:pt idx="30">
                  <c:v>7.4118589743589745</c:v>
                </c:pt>
                <c:pt idx="31">
                  <c:v>7.1727667493796519</c:v>
                </c:pt>
                <c:pt idx="32">
                  <c:v>6.9486177884615383</c:v>
                </c:pt>
                <c:pt idx="33">
                  <c:v>6.7380536130536131</c:v>
                </c:pt>
                <c:pt idx="34">
                  <c:v>6.5398755656108589</c:v>
                </c:pt>
                <c:pt idx="35">
                  <c:v>6.3530219780219781</c:v>
                </c:pt>
                <c:pt idx="36">
                  <c:v>6.1765491452991448</c:v>
                </c:pt>
                <c:pt idx="37">
                  <c:v>6.0096153846153841</c:v>
                </c:pt>
                <c:pt idx="38">
                  <c:v>5.8514676113360329</c:v>
                </c:pt>
                <c:pt idx="39">
                  <c:v>5.7014299802761341</c:v>
                </c:pt>
                <c:pt idx="40">
                  <c:v>5.5588942307692308</c:v>
                </c:pt>
                <c:pt idx="41">
                  <c:v>5.4233114446529074</c:v>
                </c:pt>
                <c:pt idx="42">
                  <c:v>5.2941849816849818</c:v>
                </c:pt>
                <c:pt idx="43">
                  <c:v>5.1710644007155633</c:v>
                </c:pt>
                <c:pt idx="44">
                  <c:v>5.0535402097902091</c:v>
                </c:pt>
                <c:pt idx="45">
                  <c:v>4.941239316239316</c:v>
                </c:pt>
                <c:pt idx="46">
                  <c:v>4.8338210702341131</c:v>
                </c:pt>
                <c:pt idx="47">
                  <c:v>4.7309738134206221</c:v>
                </c:pt>
                <c:pt idx="48">
                  <c:v>4.6324118589743586</c:v>
                </c:pt>
                <c:pt idx="49">
                  <c:v>4.5378728414442699</c:v>
                </c:pt>
                <c:pt idx="50">
                  <c:v>4.447115384615385</c:v>
                </c:pt>
                <c:pt idx="51">
                  <c:v>4.3599170437405732</c:v>
                </c:pt>
                <c:pt idx="52">
                  <c:v>4.2760724852071004</c:v>
                </c:pt>
                <c:pt idx="53">
                  <c:v>4.1953918722786643</c:v>
                </c:pt>
                <c:pt idx="54">
                  <c:v>4.1176994301994299</c:v>
                </c:pt>
                <c:pt idx="55">
                  <c:v>4.0428321678321675</c:v>
                </c:pt>
                <c:pt idx="56">
                  <c:v>3.9706387362637363</c:v>
                </c:pt>
                <c:pt idx="57">
                  <c:v>3.9009784075573544</c:v>
                </c:pt>
                <c:pt idx="58">
                  <c:v>3.8337201591511931</c:v>
                </c:pt>
                <c:pt idx="59">
                  <c:v>3.7687418513689699</c:v>
                </c:pt>
                <c:pt idx="60">
                  <c:v>3.7059294871794872</c:v>
                </c:pt>
                <c:pt idx="61">
                  <c:v>3.6451765447667088</c:v>
                </c:pt>
                <c:pt idx="62">
                  <c:v>3.5863833746898259</c:v>
                </c:pt>
                <c:pt idx="63">
                  <c:v>3.5294566544566544</c:v>
                </c:pt>
                <c:pt idx="64">
                  <c:v>3.4743088942307692</c:v>
                </c:pt>
                <c:pt idx="65">
                  <c:v>3.4208579881656807</c:v>
                </c:pt>
                <c:pt idx="66">
                  <c:v>3.3690268065268065</c:v>
                </c:pt>
                <c:pt idx="67">
                  <c:v>3.3187428243398389</c:v>
                </c:pt>
                <c:pt idx="68">
                  <c:v>3.2699377828054295</c:v>
                </c:pt>
                <c:pt idx="69">
                  <c:v>3.2225473801560756</c:v>
                </c:pt>
                <c:pt idx="70">
                  <c:v>3.1765109890109891</c:v>
                </c:pt>
                <c:pt idx="71">
                  <c:v>3.1317713976164683</c:v>
                </c:pt>
                <c:pt idx="72">
                  <c:v>3.0882745726495724</c:v>
                </c:pt>
                <c:pt idx="73">
                  <c:v>3.1317713976164678</c:v>
                </c:pt>
                <c:pt idx="74">
                  <c:v>3.1765109890109891</c:v>
                </c:pt>
                <c:pt idx="75">
                  <c:v>3.2225473801560756</c:v>
                </c:pt>
                <c:pt idx="76">
                  <c:v>3.2699377828054303</c:v>
                </c:pt>
                <c:pt idx="77">
                  <c:v>3.3187428243398389</c:v>
                </c:pt>
                <c:pt idx="78">
                  <c:v>3.3690268065268061</c:v>
                </c:pt>
                <c:pt idx="79">
                  <c:v>3.4208579881656807</c:v>
                </c:pt>
                <c:pt idx="80">
                  <c:v>3.4743088942307692</c:v>
                </c:pt>
                <c:pt idx="81">
                  <c:v>3.5294566544566548</c:v>
                </c:pt>
                <c:pt idx="82">
                  <c:v>3.5863833746898259</c:v>
                </c:pt>
                <c:pt idx="83">
                  <c:v>3.6451765447667084</c:v>
                </c:pt>
                <c:pt idx="84">
                  <c:v>3.7059294871794872</c:v>
                </c:pt>
                <c:pt idx="85">
                  <c:v>3.7687418513689708</c:v>
                </c:pt>
                <c:pt idx="86">
                  <c:v>3.8337201591511931</c:v>
                </c:pt>
                <c:pt idx="87">
                  <c:v>3.9009784075573544</c:v>
                </c:pt>
                <c:pt idx="88">
                  <c:v>3.9706387362637354</c:v>
                </c:pt>
                <c:pt idx="89">
                  <c:v>4.0428321678321675</c:v>
                </c:pt>
                <c:pt idx="90">
                  <c:v>4.1176994301994307</c:v>
                </c:pt>
                <c:pt idx="91">
                  <c:v>4.1953918722786643</c:v>
                </c:pt>
                <c:pt idx="92">
                  <c:v>4.2760724852071004</c:v>
                </c:pt>
                <c:pt idx="93">
                  <c:v>4.3599170437405723</c:v>
                </c:pt>
                <c:pt idx="94">
                  <c:v>4.447115384615385</c:v>
                </c:pt>
                <c:pt idx="95">
                  <c:v>4.5378728414442699</c:v>
                </c:pt>
                <c:pt idx="96">
                  <c:v>4.6324118589743586</c:v>
                </c:pt>
                <c:pt idx="97">
                  <c:v>4.7309738134206212</c:v>
                </c:pt>
                <c:pt idx="98">
                  <c:v>4.833821070234114</c:v>
                </c:pt>
                <c:pt idx="99">
                  <c:v>4.9412393162393151</c:v>
                </c:pt>
                <c:pt idx="100">
                  <c:v>5.0535402097902091</c:v>
                </c:pt>
                <c:pt idx="101">
                  <c:v>5.1710644007155633</c:v>
                </c:pt>
                <c:pt idx="102">
                  <c:v>5.2941849816849826</c:v>
                </c:pt>
                <c:pt idx="103">
                  <c:v>5.4233114446529083</c:v>
                </c:pt>
                <c:pt idx="104">
                  <c:v>5.5588942307692291</c:v>
                </c:pt>
                <c:pt idx="105">
                  <c:v>5.7014299802761341</c:v>
                </c:pt>
                <c:pt idx="106">
                  <c:v>5.851467611336032</c:v>
                </c:pt>
                <c:pt idx="107">
                  <c:v>6.009615384615385</c:v>
                </c:pt>
                <c:pt idx="108">
                  <c:v>6.1765491452991457</c:v>
                </c:pt>
                <c:pt idx="109">
                  <c:v>6.3530219780219763</c:v>
                </c:pt>
                <c:pt idx="110">
                  <c:v>6.5398755656108589</c:v>
                </c:pt>
                <c:pt idx="111">
                  <c:v>6.7380536130536122</c:v>
                </c:pt>
                <c:pt idx="112">
                  <c:v>6.9486177884615392</c:v>
                </c:pt>
                <c:pt idx="113">
                  <c:v>7.1727667493796528</c:v>
                </c:pt>
                <c:pt idx="114">
                  <c:v>7.4118589743589718</c:v>
                </c:pt>
                <c:pt idx="115">
                  <c:v>7.6674403183023863</c:v>
                </c:pt>
                <c:pt idx="116">
                  <c:v>7.9412774725274708</c:v>
                </c:pt>
                <c:pt idx="117">
                  <c:v>8.2353988603988615</c:v>
                </c:pt>
                <c:pt idx="118">
                  <c:v>8.5521449704142025</c:v>
                </c:pt>
                <c:pt idx="119">
                  <c:v>8.8942307692307647</c:v>
                </c:pt>
                <c:pt idx="120">
                  <c:v>9.2648237179487207</c:v>
                </c:pt>
                <c:pt idx="121">
                  <c:v>9.6676421404682262</c:v>
                </c:pt>
                <c:pt idx="122">
                  <c:v>10.107080419580422</c:v>
                </c:pt>
                <c:pt idx="123">
                  <c:v>10.588369963369958</c:v>
                </c:pt>
                <c:pt idx="124">
                  <c:v>11.117788461538462</c:v>
                </c:pt>
                <c:pt idx="125">
                  <c:v>11.702935222672069</c:v>
                </c:pt>
                <c:pt idx="126">
                  <c:v>12.353098290598288</c:v>
                </c:pt>
                <c:pt idx="127">
                  <c:v>13.079751131221723</c:v>
                </c:pt>
                <c:pt idx="128">
                  <c:v>13.89723557692307</c:v>
                </c:pt>
                <c:pt idx="129">
                  <c:v>14.823717948717949</c:v>
                </c:pt>
                <c:pt idx="130">
                  <c:v>15.882554945054954</c:v>
                </c:pt>
                <c:pt idx="131">
                  <c:v>17.104289940828398</c:v>
                </c:pt>
                <c:pt idx="132">
                  <c:v>18.529647435897441</c:v>
                </c:pt>
                <c:pt idx="133">
                  <c:v>20.214160839160822</c:v>
                </c:pt>
                <c:pt idx="134">
                  <c:v>22.235576923076923</c:v>
                </c:pt>
                <c:pt idx="135">
                  <c:v>24.706196581196604</c:v>
                </c:pt>
                <c:pt idx="136">
                  <c:v>27.794471153846139</c:v>
                </c:pt>
                <c:pt idx="137">
                  <c:v>31.765109890109908</c:v>
                </c:pt>
                <c:pt idx="138">
                  <c:v>37.059294871794819</c:v>
                </c:pt>
                <c:pt idx="139">
                  <c:v>44.471153846153847</c:v>
                </c:pt>
                <c:pt idx="140">
                  <c:v>55.588942307692427</c:v>
                </c:pt>
                <c:pt idx="141">
                  <c:v>74.118589743589638</c:v>
                </c:pt>
                <c:pt idx="142">
                  <c:v>111.17788461538485</c:v>
                </c:pt>
                <c:pt idx="143">
                  <c:v>222.35576923076729</c:v>
                </c:pt>
                <c:pt idx="1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01-854E-A61E-783A56F33D4A}"/>
            </c:ext>
          </c:extLst>
        </c:ser>
        <c:ser>
          <c:idx val="0"/>
          <c:order val="1"/>
          <c:tx>
            <c:strRef>
              <c:f>Sheet1!$J$6:$J$7</c:f>
              <c:strCache>
                <c:ptCount val="2"/>
                <c:pt idx="0">
                  <c:v>Target FOS</c:v>
                </c:pt>
                <c:pt idx="1">
                  <c:v>(--)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Sheet1!$J$8:$J$152</c:f>
              <c:numCache>
                <c:formatCode>0.00</c:formatCode>
                <c:ptCount val="14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01-854E-A61E-783A56F33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  <c:max val="1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130596877342912"/>
          <c:y val="6.2147856517935259E-2"/>
          <c:w val="0.43106965958858934"/>
          <c:h val="0.1951487314085739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7183369787109944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Sheet1!$H$6:$H$7</c:f>
              <c:strCache>
                <c:ptCount val="2"/>
                <c:pt idx="0">
                  <c:v>𝛔_vm</c:v>
                </c:pt>
                <c:pt idx="1">
                  <c:v>(psi)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Sheet1!$H$8:$H$152</c:f>
              <c:numCache>
                <c:formatCode>0.00</c:formatCode>
                <c:ptCount val="145"/>
                <c:pt idx="0">
                  <c:v>0</c:v>
                </c:pt>
                <c:pt idx="1">
                  <c:v>166.4</c:v>
                </c:pt>
                <c:pt idx="2">
                  <c:v>332.8</c:v>
                </c:pt>
                <c:pt idx="3">
                  <c:v>499.20000000000005</c:v>
                </c:pt>
                <c:pt idx="4">
                  <c:v>665.6</c:v>
                </c:pt>
                <c:pt idx="5">
                  <c:v>832</c:v>
                </c:pt>
                <c:pt idx="6">
                  <c:v>998.40000000000009</c:v>
                </c:pt>
                <c:pt idx="7">
                  <c:v>1164.8</c:v>
                </c:pt>
                <c:pt idx="8">
                  <c:v>1331.2</c:v>
                </c:pt>
                <c:pt idx="9">
                  <c:v>1497.6000000000001</c:v>
                </c:pt>
                <c:pt idx="10">
                  <c:v>1664</c:v>
                </c:pt>
                <c:pt idx="11">
                  <c:v>1830.4</c:v>
                </c:pt>
                <c:pt idx="12">
                  <c:v>1996.8000000000002</c:v>
                </c:pt>
                <c:pt idx="13">
                  <c:v>2163.2000000000003</c:v>
                </c:pt>
                <c:pt idx="14">
                  <c:v>2329.6</c:v>
                </c:pt>
                <c:pt idx="15">
                  <c:v>2496</c:v>
                </c:pt>
                <c:pt idx="16">
                  <c:v>2662.4</c:v>
                </c:pt>
                <c:pt idx="17">
                  <c:v>2828.8</c:v>
                </c:pt>
                <c:pt idx="18">
                  <c:v>2995.2000000000003</c:v>
                </c:pt>
                <c:pt idx="19">
                  <c:v>3161.6</c:v>
                </c:pt>
                <c:pt idx="20">
                  <c:v>3328</c:v>
                </c:pt>
                <c:pt idx="21">
                  <c:v>3494.4</c:v>
                </c:pt>
                <c:pt idx="22">
                  <c:v>3660.8</c:v>
                </c:pt>
                <c:pt idx="23">
                  <c:v>3827.2000000000003</c:v>
                </c:pt>
                <c:pt idx="24">
                  <c:v>3993.6000000000004</c:v>
                </c:pt>
                <c:pt idx="25">
                  <c:v>4160</c:v>
                </c:pt>
                <c:pt idx="26">
                  <c:v>4326.4000000000005</c:v>
                </c:pt>
                <c:pt idx="27">
                  <c:v>4492.8</c:v>
                </c:pt>
                <c:pt idx="28">
                  <c:v>4659.2</c:v>
                </c:pt>
                <c:pt idx="29">
                  <c:v>4825.6000000000004</c:v>
                </c:pt>
                <c:pt idx="30">
                  <c:v>4992</c:v>
                </c:pt>
                <c:pt idx="31">
                  <c:v>5158.4000000000005</c:v>
                </c:pt>
                <c:pt idx="32">
                  <c:v>5324.8</c:v>
                </c:pt>
                <c:pt idx="33">
                  <c:v>5491.2</c:v>
                </c:pt>
                <c:pt idx="34">
                  <c:v>5657.6</c:v>
                </c:pt>
                <c:pt idx="35">
                  <c:v>5824</c:v>
                </c:pt>
                <c:pt idx="36">
                  <c:v>5990.4000000000005</c:v>
                </c:pt>
                <c:pt idx="37">
                  <c:v>6156.8</c:v>
                </c:pt>
                <c:pt idx="38">
                  <c:v>6323.2</c:v>
                </c:pt>
                <c:pt idx="39">
                  <c:v>6489.6</c:v>
                </c:pt>
                <c:pt idx="40">
                  <c:v>6656</c:v>
                </c:pt>
                <c:pt idx="41">
                  <c:v>6822.4000000000005</c:v>
                </c:pt>
                <c:pt idx="42">
                  <c:v>6988.8</c:v>
                </c:pt>
                <c:pt idx="43">
                  <c:v>7155.2</c:v>
                </c:pt>
                <c:pt idx="44">
                  <c:v>7321.6</c:v>
                </c:pt>
                <c:pt idx="45">
                  <c:v>7488</c:v>
                </c:pt>
                <c:pt idx="46">
                  <c:v>7654.4000000000005</c:v>
                </c:pt>
                <c:pt idx="47">
                  <c:v>7820.8</c:v>
                </c:pt>
                <c:pt idx="48">
                  <c:v>7987.2000000000007</c:v>
                </c:pt>
                <c:pt idx="49">
                  <c:v>8153.6</c:v>
                </c:pt>
                <c:pt idx="50">
                  <c:v>8320</c:v>
                </c:pt>
                <c:pt idx="51">
                  <c:v>8486.4</c:v>
                </c:pt>
                <c:pt idx="52">
                  <c:v>8652.8000000000011</c:v>
                </c:pt>
                <c:pt idx="53">
                  <c:v>8819.2000000000007</c:v>
                </c:pt>
                <c:pt idx="54">
                  <c:v>8985.6</c:v>
                </c:pt>
                <c:pt idx="55">
                  <c:v>9152</c:v>
                </c:pt>
                <c:pt idx="56">
                  <c:v>9318.4</c:v>
                </c:pt>
                <c:pt idx="57">
                  <c:v>9484.8000000000011</c:v>
                </c:pt>
                <c:pt idx="58">
                  <c:v>9651.2000000000007</c:v>
                </c:pt>
                <c:pt idx="59">
                  <c:v>9817.6</c:v>
                </c:pt>
                <c:pt idx="60">
                  <c:v>9984</c:v>
                </c:pt>
                <c:pt idx="61">
                  <c:v>10150.4</c:v>
                </c:pt>
                <c:pt idx="62">
                  <c:v>10316.800000000001</c:v>
                </c:pt>
                <c:pt idx="63">
                  <c:v>10483.200000000001</c:v>
                </c:pt>
                <c:pt idx="64">
                  <c:v>10649.6</c:v>
                </c:pt>
                <c:pt idx="65">
                  <c:v>10816</c:v>
                </c:pt>
                <c:pt idx="66">
                  <c:v>10982.4</c:v>
                </c:pt>
                <c:pt idx="67">
                  <c:v>11148.800000000001</c:v>
                </c:pt>
                <c:pt idx="68">
                  <c:v>11315.2</c:v>
                </c:pt>
                <c:pt idx="69">
                  <c:v>11481.6</c:v>
                </c:pt>
                <c:pt idx="70">
                  <c:v>11648</c:v>
                </c:pt>
                <c:pt idx="71">
                  <c:v>11814.4</c:v>
                </c:pt>
                <c:pt idx="72">
                  <c:v>11980.800000000001</c:v>
                </c:pt>
                <c:pt idx="73">
                  <c:v>11814.400000000001</c:v>
                </c:pt>
                <c:pt idx="74">
                  <c:v>11648</c:v>
                </c:pt>
                <c:pt idx="75">
                  <c:v>11481.6</c:v>
                </c:pt>
                <c:pt idx="76">
                  <c:v>11315.199999999999</c:v>
                </c:pt>
                <c:pt idx="77">
                  <c:v>11148.800000000001</c:v>
                </c:pt>
                <c:pt idx="78">
                  <c:v>10982.400000000001</c:v>
                </c:pt>
                <c:pt idx="79">
                  <c:v>10816</c:v>
                </c:pt>
                <c:pt idx="80">
                  <c:v>10649.6</c:v>
                </c:pt>
                <c:pt idx="81">
                  <c:v>10483.199999999999</c:v>
                </c:pt>
                <c:pt idx="82">
                  <c:v>10316.800000000001</c:v>
                </c:pt>
                <c:pt idx="83">
                  <c:v>10150.400000000001</c:v>
                </c:pt>
                <c:pt idx="84">
                  <c:v>9984</c:v>
                </c:pt>
                <c:pt idx="85">
                  <c:v>9817.5999999999985</c:v>
                </c:pt>
                <c:pt idx="86">
                  <c:v>9651.2000000000007</c:v>
                </c:pt>
                <c:pt idx="87">
                  <c:v>9484.8000000000011</c:v>
                </c:pt>
                <c:pt idx="88">
                  <c:v>9318.4000000000015</c:v>
                </c:pt>
                <c:pt idx="89">
                  <c:v>9152</c:v>
                </c:pt>
                <c:pt idx="90">
                  <c:v>8985.5999999999985</c:v>
                </c:pt>
                <c:pt idx="91">
                  <c:v>8819.2000000000007</c:v>
                </c:pt>
                <c:pt idx="92">
                  <c:v>8652.8000000000011</c:v>
                </c:pt>
                <c:pt idx="93">
                  <c:v>8486.4000000000015</c:v>
                </c:pt>
                <c:pt idx="94">
                  <c:v>8320</c:v>
                </c:pt>
                <c:pt idx="95">
                  <c:v>8153.5999999999995</c:v>
                </c:pt>
                <c:pt idx="96">
                  <c:v>7987.2000000000007</c:v>
                </c:pt>
                <c:pt idx="97">
                  <c:v>7820.8000000000011</c:v>
                </c:pt>
                <c:pt idx="98">
                  <c:v>7654.4</c:v>
                </c:pt>
                <c:pt idx="99">
                  <c:v>7488.0000000000018</c:v>
                </c:pt>
                <c:pt idx="100">
                  <c:v>7321.6</c:v>
                </c:pt>
                <c:pt idx="101">
                  <c:v>7155.2000000000007</c:v>
                </c:pt>
                <c:pt idx="102">
                  <c:v>6988.7999999999993</c:v>
                </c:pt>
                <c:pt idx="103">
                  <c:v>6822.4</c:v>
                </c:pt>
                <c:pt idx="104">
                  <c:v>6656.0000000000018</c:v>
                </c:pt>
                <c:pt idx="105">
                  <c:v>6489.6</c:v>
                </c:pt>
                <c:pt idx="106">
                  <c:v>6323.2000000000007</c:v>
                </c:pt>
                <c:pt idx="107">
                  <c:v>6156.7999999999993</c:v>
                </c:pt>
                <c:pt idx="108">
                  <c:v>5990.4</c:v>
                </c:pt>
                <c:pt idx="109">
                  <c:v>5824.0000000000018</c:v>
                </c:pt>
                <c:pt idx="110">
                  <c:v>5657.6</c:v>
                </c:pt>
                <c:pt idx="111">
                  <c:v>5491.2000000000007</c:v>
                </c:pt>
                <c:pt idx="112">
                  <c:v>5324.7999999999993</c:v>
                </c:pt>
                <c:pt idx="113">
                  <c:v>5158.3999999999996</c:v>
                </c:pt>
                <c:pt idx="114">
                  <c:v>4992.0000000000018</c:v>
                </c:pt>
                <c:pt idx="115">
                  <c:v>4825.6000000000004</c:v>
                </c:pt>
                <c:pt idx="116">
                  <c:v>4659.2000000000007</c:v>
                </c:pt>
                <c:pt idx="117">
                  <c:v>4492.7999999999993</c:v>
                </c:pt>
                <c:pt idx="118">
                  <c:v>4326.3999999999996</c:v>
                </c:pt>
                <c:pt idx="119">
                  <c:v>4160.0000000000018</c:v>
                </c:pt>
                <c:pt idx="120">
                  <c:v>3993.5999999999985</c:v>
                </c:pt>
                <c:pt idx="121">
                  <c:v>3827.2000000000007</c:v>
                </c:pt>
                <c:pt idx="122">
                  <c:v>3660.7999999999993</c:v>
                </c:pt>
                <c:pt idx="123">
                  <c:v>3494.4000000000015</c:v>
                </c:pt>
                <c:pt idx="124">
                  <c:v>3328</c:v>
                </c:pt>
                <c:pt idx="125">
                  <c:v>3161.5999999999985</c:v>
                </c:pt>
                <c:pt idx="126">
                  <c:v>2995.2000000000007</c:v>
                </c:pt>
                <c:pt idx="127">
                  <c:v>2828.7999999999993</c:v>
                </c:pt>
                <c:pt idx="128">
                  <c:v>2662.4000000000015</c:v>
                </c:pt>
                <c:pt idx="129">
                  <c:v>2496</c:v>
                </c:pt>
                <c:pt idx="130">
                  <c:v>2329.5999999999985</c:v>
                </c:pt>
                <c:pt idx="131">
                  <c:v>2163.2000000000007</c:v>
                </c:pt>
                <c:pt idx="132">
                  <c:v>1996.7999999999993</c:v>
                </c:pt>
                <c:pt idx="133">
                  <c:v>1830.4000000000015</c:v>
                </c:pt>
                <c:pt idx="134">
                  <c:v>1664</c:v>
                </c:pt>
                <c:pt idx="135">
                  <c:v>1497.5999999999985</c:v>
                </c:pt>
                <c:pt idx="136">
                  <c:v>1331.2000000000007</c:v>
                </c:pt>
                <c:pt idx="137">
                  <c:v>1164.7999999999993</c:v>
                </c:pt>
                <c:pt idx="138">
                  <c:v>998.40000000000146</c:v>
                </c:pt>
                <c:pt idx="139">
                  <c:v>832</c:v>
                </c:pt>
                <c:pt idx="140">
                  <c:v>665.59999999999854</c:v>
                </c:pt>
                <c:pt idx="141">
                  <c:v>499.20000000000073</c:v>
                </c:pt>
                <c:pt idx="142">
                  <c:v>332.79999999999927</c:v>
                </c:pt>
                <c:pt idx="143">
                  <c:v>166.40000000000146</c:v>
                </c:pt>
                <c:pt idx="1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1-5C43-B5F6-01E175BD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862372509559691"/>
          <c:y val="7.1407115777194524E-2"/>
          <c:w val="0.36417324389993377"/>
          <c:h val="8.8667249927092448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5397129620568584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Sheet1!$M$6:$M$7</c:f>
              <c:strCache>
                <c:ptCount val="2"/>
                <c:pt idx="0">
                  <c:v>v = int(v')</c:v>
                </c:pt>
                <c:pt idx="1">
                  <c:v>(in)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Sheet1!$M$8:$M$152</c:f>
              <c:numCache>
                <c:formatCode>0.0000</c:formatCode>
                <c:ptCount val="145"/>
                <c:pt idx="0">
                  <c:v>0</c:v>
                </c:pt>
                <c:pt idx="1">
                  <c:v>3.9245283018867922E-6</c:v>
                </c:pt>
                <c:pt idx="2">
                  <c:v>2.3547169811320756E-5</c:v>
                </c:pt>
                <c:pt idx="3">
                  <c:v>7.4566037735849063E-5</c:v>
                </c:pt>
                <c:pt idx="4">
                  <c:v>1.7267924528301888E-4</c:v>
                </c:pt>
                <c:pt idx="5">
                  <c:v>3.3358490566037736E-4</c:v>
                </c:pt>
                <c:pt idx="6">
                  <c:v>5.7298113207547173E-4</c:v>
                </c:pt>
                <c:pt idx="7">
                  <c:v>9.0656603773584909E-4</c:v>
                </c:pt>
                <c:pt idx="8">
                  <c:v>1.3500377358490567E-3</c:v>
                </c:pt>
                <c:pt idx="9">
                  <c:v>1.9190943396226415E-3</c:v>
                </c:pt>
                <c:pt idx="10">
                  <c:v>2.6294339622641508E-3</c:v>
                </c:pt>
                <c:pt idx="11">
                  <c:v>3.4967547169811319E-3</c:v>
                </c:pt>
                <c:pt idx="12">
                  <c:v>4.5367547169811321E-3</c:v>
                </c:pt>
                <c:pt idx="13">
                  <c:v>5.7651320754716984E-3</c:v>
                </c:pt>
                <c:pt idx="14">
                  <c:v>7.1975849056603782E-3</c:v>
                </c:pt>
                <c:pt idx="15">
                  <c:v>8.8498113207547188E-3</c:v>
                </c:pt>
                <c:pt idx="16">
                  <c:v>1.0737509433962266E-2</c:v>
                </c:pt>
                <c:pt idx="17">
                  <c:v>1.2876377358490568E-2</c:v>
                </c:pt>
                <c:pt idx="18">
                  <c:v>1.5282113207547172E-2</c:v>
                </c:pt>
                <c:pt idx="19">
                  <c:v>1.7970415094339626E-2</c:v>
                </c:pt>
                <c:pt idx="20">
                  <c:v>2.0956981132075475E-2</c:v>
                </c:pt>
                <c:pt idx="21">
                  <c:v>2.4257509433962269E-2</c:v>
                </c:pt>
                <c:pt idx="22">
                  <c:v>2.7887698113207553E-2</c:v>
                </c:pt>
                <c:pt idx="23">
                  <c:v>3.1863245283018871E-2</c:v>
                </c:pt>
                <c:pt idx="24">
                  <c:v>3.6199849056603776E-2</c:v>
                </c:pt>
                <c:pt idx="25">
                  <c:v>4.0913207547169816E-2</c:v>
                </c:pt>
                <c:pt idx="26">
                  <c:v>4.6019018867924533E-2</c:v>
                </c:pt>
                <c:pt idx="27">
                  <c:v>5.1532981132075481E-2</c:v>
                </c:pt>
                <c:pt idx="28">
                  <c:v>5.7470792452830197E-2</c:v>
                </c:pt>
                <c:pt idx="29">
                  <c:v>6.3848150943396242E-2</c:v>
                </c:pt>
                <c:pt idx="30">
                  <c:v>7.0680754716981153E-2</c:v>
                </c:pt>
                <c:pt idx="31">
                  <c:v>7.7984301886792479E-2</c:v>
                </c:pt>
                <c:pt idx="32">
                  <c:v>8.5774490566037767E-2</c:v>
                </c:pt>
                <c:pt idx="33">
                  <c:v>9.4067018867924568E-2</c:v>
                </c:pt>
                <c:pt idx="34">
                  <c:v>0.10287758490566042</c:v>
                </c:pt>
                <c:pt idx="35">
                  <c:v>0.11222188679245287</c:v>
                </c:pt>
                <c:pt idx="36">
                  <c:v>0.12211562264150948</c:v>
                </c:pt>
                <c:pt idx="37">
                  <c:v>0.13257449056603779</c:v>
                </c:pt>
                <c:pt idx="38">
                  <c:v>0.14361418867924533</c:v>
                </c:pt>
                <c:pt idx="39">
                  <c:v>0.15525041509433968</c:v>
                </c:pt>
                <c:pt idx="40">
                  <c:v>0.16749886792452837</c:v>
                </c:pt>
                <c:pt idx="41">
                  <c:v>0.18037524528301893</c:v>
                </c:pt>
                <c:pt idx="42">
                  <c:v>0.19389524528301894</c:v>
                </c:pt>
                <c:pt idx="43">
                  <c:v>0.20807456603773591</c:v>
                </c:pt>
                <c:pt idx="44">
                  <c:v>0.22292890566037743</c:v>
                </c:pt>
                <c:pt idx="45">
                  <c:v>0.23847396226415102</c:v>
                </c:pt>
                <c:pt idx="46">
                  <c:v>0.25472543396226421</c:v>
                </c:pt>
                <c:pt idx="47">
                  <c:v>0.27169901886792458</c:v>
                </c:pt>
                <c:pt idx="48">
                  <c:v>0.28941041509433968</c:v>
                </c:pt>
                <c:pt idx="49">
                  <c:v>0.30787532075471702</c:v>
                </c:pt>
                <c:pt idx="50">
                  <c:v>0.32710943396226422</c:v>
                </c:pt>
                <c:pt idx="51">
                  <c:v>0.34712845283018873</c:v>
                </c:pt>
                <c:pt idx="52">
                  <c:v>0.36794807547169817</c:v>
                </c:pt>
                <c:pt idx="53">
                  <c:v>0.38958400000000004</c:v>
                </c:pt>
                <c:pt idx="54">
                  <c:v>0.41205192452830192</c:v>
                </c:pt>
                <c:pt idx="55">
                  <c:v>0.43536754716981135</c:v>
                </c:pt>
                <c:pt idx="56">
                  <c:v>0.45954656603773586</c:v>
                </c:pt>
                <c:pt idx="57">
                  <c:v>0.48460467924528305</c:v>
                </c:pt>
                <c:pt idx="58">
                  <c:v>0.51055758490566039</c:v>
                </c:pt>
                <c:pt idx="59">
                  <c:v>0.53742098113207548</c:v>
                </c:pt>
                <c:pt idx="60">
                  <c:v>0.5652105660377359</c:v>
                </c:pt>
                <c:pt idx="61">
                  <c:v>0.59394203773584908</c:v>
                </c:pt>
                <c:pt idx="62">
                  <c:v>0.62363109433962272</c:v>
                </c:pt>
                <c:pt idx="63">
                  <c:v>0.65429343396226425</c:v>
                </c:pt>
                <c:pt idx="64">
                  <c:v>0.68594475471698124</c:v>
                </c:pt>
                <c:pt idx="65">
                  <c:v>0.71860075471698126</c:v>
                </c:pt>
                <c:pt idx="66">
                  <c:v>0.75227713207547187</c:v>
                </c:pt>
                <c:pt idx="67">
                  <c:v>0.78698958490566051</c:v>
                </c:pt>
                <c:pt idx="68">
                  <c:v>0.82275381132075487</c:v>
                </c:pt>
                <c:pt idx="69">
                  <c:v>0.85958550943396239</c:v>
                </c:pt>
                <c:pt idx="70">
                  <c:v>0.89750037735849064</c:v>
                </c:pt>
                <c:pt idx="71">
                  <c:v>0.93651411320754729</c:v>
                </c:pt>
                <c:pt idx="72">
                  <c:v>0.9766424150943398</c:v>
                </c:pt>
                <c:pt idx="73">
                  <c:v>1.0178931320754718</c:v>
                </c:pt>
                <c:pt idx="74">
                  <c:v>1.0602584150943397</c:v>
                </c:pt>
                <c:pt idx="75">
                  <c:v>1.1037225660377359</c:v>
                </c:pt>
                <c:pt idx="76">
                  <c:v>1.1482698867924528</c:v>
                </c:pt>
                <c:pt idx="77">
                  <c:v>1.1938846792452831</c:v>
                </c:pt>
                <c:pt idx="78">
                  <c:v>1.240551245283019</c:v>
                </c:pt>
                <c:pt idx="79">
                  <c:v>1.2882538867924529</c:v>
                </c:pt>
                <c:pt idx="80">
                  <c:v>1.3369769056603775</c:v>
                </c:pt>
                <c:pt idx="81">
                  <c:v>1.3867046037735851</c:v>
                </c:pt>
                <c:pt idx="82">
                  <c:v>1.4374212830188682</c:v>
                </c:pt>
                <c:pt idx="83">
                  <c:v>1.4891112452830191</c:v>
                </c:pt>
                <c:pt idx="84">
                  <c:v>1.5417587924528304</c:v>
                </c:pt>
                <c:pt idx="85">
                  <c:v>1.5953482264150947</c:v>
                </c:pt>
                <c:pt idx="86">
                  <c:v>1.649863849056604</c:v>
                </c:pt>
                <c:pt idx="87">
                  <c:v>1.7052899622641511</c:v>
                </c:pt>
                <c:pt idx="88">
                  <c:v>1.7616108679245284</c:v>
                </c:pt>
                <c:pt idx="89">
                  <c:v>1.8188108679245283</c:v>
                </c:pt>
                <c:pt idx="90">
                  <c:v>1.8768742641509433</c:v>
                </c:pt>
                <c:pt idx="91">
                  <c:v>1.935785358490566</c:v>
                </c:pt>
                <c:pt idx="92">
                  <c:v>1.9955284528301886</c:v>
                </c:pt>
                <c:pt idx="93">
                  <c:v>2.0560878490566039</c:v>
                </c:pt>
                <c:pt idx="94">
                  <c:v>2.117447849056604</c:v>
                </c:pt>
                <c:pt idx="95">
                  <c:v>2.1795927547169813</c:v>
                </c:pt>
                <c:pt idx="96">
                  <c:v>2.2425068679245284</c:v>
                </c:pt>
                <c:pt idx="97">
                  <c:v>2.306174490566038</c:v>
                </c:pt>
                <c:pt idx="98">
                  <c:v>2.3705799245283021</c:v>
                </c:pt>
                <c:pt idx="99">
                  <c:v>2.4357074716981133</c:v>
                </c:pt>
                <c:pt idx="100">
                  <c:v>2.5015414339622644</c:v>
                </c:pt>
                <c:pt idx="101">
                  <c:v>2.5680661132075473</c:v>
                </c:pt>
                <c:pt idx="102">
                  <c:v>2.635265811320755</c:v>
                </c:pt>
                <c:pt idx="103">
                  <c:v>2.7031248301886794</c:v>
                </c:pt>
                <c:pt idx="104">
                  <c:v>2.7716274716981135</c:v>
                </c:pt>
                <c:pt idx="105">
                  <c:v>2.8407580377358492</c:v>
                </c:pt>
                <c:pt idx="106">
                  <c:v>2.9105008301886794</c:v>
                </c:pt>
                <c:pt idx="107">
                  <c:v>2.9808401509433966</c:v>
                </c:pt>
                <c:pt idx="108">
                  <c:v>3.0517603018867927</c:v>
                </c:pt>
                <c:pt idx="109">
                  <c:v>3.1232455849056606</c:v>
                </c:pt>
                <c:pt idx="110">
                  <c:v>3.1952803018867928</c:v>
                </c:pt>
                <c:pt idx="111">
                  <c:v>3.2678487547169817</c:v>
                </c:pt>
                <c:pt idx="112">
                  <c:v>3.3409352452830192</c:v>
                </c:pt>
                <c:pt idx="113">
                  <c:v>3.4145240754716983</c:v>
                </c:pt>
                <c:pt idx="114">
                  <c:v>3.4885995471698115</c:v>
                </c:pt>
                <c:pt idx="115">
                  <c:v>3.563145962264151</c:v>
                </c:pt>
                <c:pt idx="116">
                  <c:v>3.6381476226415095</c:v>
                </c:pt>
                <c:pt idx="117">
                  <c:v>3.7135888301886792</c:v>
                </c:pt>
                <c:pt idx="118">
                  <c:v>3.7894538867924528</c:v>
                </c:pt>
                <c:pt idx="119">
                  <c:v>3.8657270943396225</c:v>
                </c:pt>
                <c:pt idx="120">
                  <c:v>3.9423927547169808</c:v>
                </c:pt>
                <c:pt idx="121">
                  <c:v>4.0194351698113202</c:v>
                </c:pt>
                <c:pt idx="122">
                  <c:v>4.0968386415094331</c:v>
                </c:pt>
                <c:pt idx="123">
                  <c:v>4.1745874716981124</c:v>
                </c:pt>
                <c:pt idx="124">
                  <c:v>4.2526659622641505</c:v>
                </c:pt>
                <c:pt idx="125">
                  <c:v>4.331058415094339</c:v>
                </c:pt>
                <c:pt idx="126">
                  <c:v>4.4097491320754711</c:v>
                </c:pt>
                <c:pt idx="127">
                  <c:v>4.4887224150943394</c:v>
                </c:pt>
                <c:pt idx="128">
                  <c:v>4.5679625660377354</c:v>
                </c:pt>
                <c:pt idx="129">
                  <c:v>4.6474538867924524</c:v>
                </c:pt>
                <c:pt idx="130">
                  <c:v>4.7271806792452828</c:v>
                </c:pt>
                <c:pt idx="131">
                  <c:v>4.8071272452830183</c:v>
                </c:pt>
                <c:pt idx="132">
                  <c:v>4.887277886792452</c:v>
                </c:pt>
                <c:pt idx="133">
                  <c:v>4.9676169056603765</c:v>
                </c:pt>
                <c:pt idx="134">
                  <c:v>5.0481286037735842</c:v>
                </c:pt>
                <c:pt idx="135">
                  <c:v>5.1287972830188675</c:v>
                </c:pt>
                <c:pt idx="136">
                  <c:v>5.2096072452830189</c:v>
                </c:pt>
                <c:pt idx="137">
                  <c:v>5.2905427924528299</c:v>
                </c:pt>
                <c:pt idx="138">
                  <c:v>5.3715882264150938</c:v>
                </c:pt>
                <c:pt idx="139">
                  <c:v>5.4527278490566031</c:v>
                </c:pt>
                <c:pt idx="140">
                  <c:v>5.5339459622641503</c:v>
                </c:pt>
                <c:pt idx="141">
                  <c:v>5.6152268679245276</c:v>
                </c:pt>
                <c:pt idx="142">
                  <c:v>5.6965548679245277</c:v>
                </c:pt>
                <c:pt idx="143">
                  <c:v>5.7779142641509429</c:v>
                </c:pt>
                <c:pt idx="144">
                  <c:v>5.8592893584905656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22-BB48-AD85-F432CAFE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  <c:max val="8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893005300220998"/>
          <c:y val="4.7414009151035032E-2"/>
          <c:w val="0.43478638751545118"/>
          <c:h val="0.169500209641604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58253741181215013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Sheet1!$L$6:$L$7</c:f>
              <c:strCache>
                <c:ptCount val="2"/>
                <c:pt idx="0">
                  <c:v>v' = int(v'')</c:v>
                </c:pt>
                <c:pt idx="1">
                  <c:v>(rads)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Sheet1!$L$8:$L$152</c:f>
              <c:numCache>
                <c:formatCode>0.0000</c:formatCode>
                <c:ptCount val="145"/>
                <c:pt idx="0">
                  <c:v>0</c:v>
                </c:pt>
                <c:pt idx="1">
                  <c:v>3.1396226415094337E-5</c:v>
                </c:pt>
                <c:pt idx="2">
                  <c:v>1.2558490566037735E-4</c:v>
                </c:pt>
                <c:pt idx="3">
                  <c:v>2.8256603773584905E-4</c:v>
                </c:pt>
                <c:pt idx="4">
                  <c:v>5.023396226415094E-4</c:v>
                </c:pt>
                <c:pt idx="5">
                  <c:v>7.849056603773585E-4</c:v>
                </c:pt>
                <c:pt idx="6">
                  <c:v>1.1302641509433962E-3</c:v>
                </c:pt>
                <c:pt idx="7">
                  <c:v>1.5384150943396225E-3</c:v>
                </c:pt>
                <c:pt idx="8">
                  <c:v>2.0093584905660376E-3</c:v>
                </c:pt>
                <c:pt idx="9">
                  <c:v>2.5430943396226413E-3</c:v>
                </c:pt>
                <c:pt idx="10">
                  <c:v>3.139622641509434E-3</c:v>
                </c:pt>
                <c:pt idx="11">
                  <c:v>3.7989433962264153E-3</c:v>
                </c:pt>
                <c:pt idx="12">
                  <c:v>4.5210566037735857E-3</c:v>
                </c:pt>
                <c:pt idx="13">
                  <c:v>5.3059622641509442E-3</c:v>
                </c:pt>
                <c:pt idx="14">
                  <c:v>6.1536603773584917E-3</c:v>
                </c:pt>
                <c:pt idx="15">
                  <c:v>7.0641509433962274E-3</c:v>
                </c:pt>
                <c:pt idx="16">
                  <c:v>8.0374339622641521E-3</c:v>
                </c:pt>
                <c:pt idx="17">
                  <c:v>9.0735094339622659E-3</c:v>
                </c:pt>
                <c:pt idx="18">
                  <c:v>1.0172377358490567E-2</c:v>
                </c:pt>
                <c:pt idx="19">
                  <c:v>1.1334037735849057E-2</c:v>
                </c:pt>
                <c:pt idx="20">
                  <c:v>1.2558490566037736E-2</c:v>
                </c:pt>
                <c:pt idx="21">
                  <c:v>1.3845735849056604E-2</c:v>
                </c:pt>
                <c:pt idx="22">
                  <c:v>1.5195773584905661E-2</c:v>
                </c:pt>
                <c:pt idx="23">
                  <c:v>1.6608603773584907E-2</c:v>
                </c:pt>
                <c:pt idx="24">
                  <c:v>1.8084226415094343E-2</c:v>
                </c:pt>
                <c:pt idx="25">
                  <c:v>1.9622641509433967E-2</c:v>
                </c:pt>
                <c:pt idx="26">
                  <c:v>2.122384905660378E-2</c:v>
                </c:pt>
                <c:pt idx="27">
                  <c:v>2.2887849056603779E-2</c:v>
                </c:pt>
                <c:pt idx="28">
                  <c:v>2.4614641509433967E-2</c:v>
                </c:pt>
                <c:pt idx="29">
                  <c:v>2.6404226415094344E-2</c:v>
                </c:pt>
                <c:pt idx="30">
                  <c:v>2.825660377358491E-2</c:v>
                </c:pt>
                <c:pt idx="31">
                  <c:v>3.0171773584905665E-2</c:v>
                </c:pt>
                <c:pt idx="32">
                  <c:v>3.2149735849056608E-2</c:v>
                </c:pt>
                <c:pt idx="33">
                  <c:v>3.4190490566037741E-2</c:v>
                </c:pt>
                <c:pt idx="34">
                  <c:v>3.6294037735849063E-2</c:v>
                </c:pt>
                <c:pt idx="35">
                  <c:v>3.8460377358490574E-2</c:v>
                </c:pt>
                <c:pt idx="36">
                  <c:v>4.0689509433962275E-2</c:v>
                </c:pt>
                <c:pt idx="37">
                  <c:v>4.2981433962264164E-2</c:v>
                </c:pt>
                <c:pt idx="38">
                  <c:v>4.5336150943396242E-2</c:v>
                </c:pt>
                <c:pt idx="39">
                  <c:v>4.7753660377358509E-2</c:v>
                </c:pt>
                <c:pt idx="40">
                  <c:v>5.0233962264150958E-2</c:v>
                </c:pt>
                <c:pt idx="41">
                  <c:v>5.2777056603773603E-2</c:v>
                </c:pt>
                <c:pt idx="42">
                  <c:v>5.5382943396226431E-2</c:v>
                </c:pt>
                <c:pt idx="43">
                  <c:v>5.8051622641509447E-2</c:v>
                </c:pt>
                <c:pt idx="44">
                  <c:v>6.0783094339622652E-2</c:v>
                </c:pt>
                <c:pt idx="45">
                  <c:v>6.3577358490566047E-2</c:v>
                </c:pt>
                <c:pt idx="46">
                  <c:v>6.643441509433963E-2</c:v>
                </c:pt>
                <c:pt idx="47">
                  <c:v>6.9354264150943409E-2</c:v>
                </c:pt>
                <c:pt idx="48">
                  <c:v>7.2336905660377371E-2</c:v>
                </c:pt>
                <c:pt idx="49">
                  <c:v>7.5382339622641528E-2</c:v>
                </c:pt>
                <c:pt idx="50">
                  <c:v>7.8490566037735868E-2</c:v>
                </c:pt>
                <c:pt idx="51">
                  <c:v>8.1661584905660389E-2</c:v>
                </c:pt>
                <c:pt idx="52">
                  <c:v>8.4895396226415107E-2</c:v>
                </c:pt>
                <c:pt idx="53">
                  <c:v>8.8192000000000006E-2</c:v>
                </c:pt>
                <c:pt idx="54">
                  <c:v>9.1551396226415102E-2</c:v>
                </c:pt>
                <c:pt idx="55">
                  <c:v>9.497358490566038E-2</c:v>
                </c:pt>
                <c:pt idx="56">
                  <c:v>9.8458566037735853E-2</c:v>
                </c:pt>
                <c:pt idx="57">
                  <c:v>0.10200633962264151</c:v>
                </c:pt>
                <c:pt idx="58">
                  <c:v>0.10561690566037736</c:v>
                </c:pt>
                <c:pt idx="59">
                  <c:v>0.10929026415094339</c:v>
                </c:pt>
                <c:pt idx="60">
                  <c:v>0.11302641509433962</c:v>
                </c:pt>
                <c:pt idx="61">
                  <c:v>0.11682535849056604</c:v>
                </c:pt>
                <c:pt idx="62">
                  <c:v>0.12068709433962264</c:v>
                </c:pt>
                <c:pt idx="63">
                  <c:v>0.12461162264150943</c:v>
                </c:pt>
                <c:pt idx="64">
                  <c:v>0.12859894339622641</c:v>
                </c:pt>
                <c:pt idx="65">
                  <c:v>0.13264905660377357</c:v>
                </c:pt>
                <c:pt idx="66">
                  <c:v>0.13676196226415094</c:v>
                </c:pt>
                <c:pt idx="67">
                  <c:v>0.1409376603773585</c:v>
                </c:pt>
                <c:pt idx="68">
                  <c:v>0.14517615094339623</c:v>
                </c:pt>
                <c:pt idx="69">
                  <c:v>0.14947743396226415</c:v>
                </c:pt>
                <c:pt idx="70">
                  <c:v>0.15384150943396227</c:v>
                </c:pt>
                <c:pt idx="71">
                  <c:v>0.15826837735849059</c:v>
                </c:pt>
                <c:pt idx="72">
                  <c:v>0.16275803773584907</c:v>
                </c:pt>
                <c:pt idx="73">
                  <c:v>0.16724769811320755</c:v>
                </c:pt>
                <c:pt idx="74">
                  <c:v>0.17167456603773584</c:v>
                </c:pt>
                <c:pt idx="75">
                  <c:v>0.17603864150943396</c:v>
                </c:pt>
                <c:pt idx="76">
                  <c:v>0.18033992452830189</c:v>
                </c:pt>
                <c:pt idx="77">
                  <c:v>0.18457841509433962</c:v>
                </c:pt>
                <c:pt idx="78">
                  <c:v>0.18875411320754718</c:v>
                </c:pt>
                <c:pt idx="79">
                  <c:v>0.19286701886792454</c:v>
                </c:pt>
                <c:pt idx="80">
                  <c:v>0.19691713207547171</c:v>
                </c:pt>
                <c:pt idx="81">
                  <c:v>0.20090445283018868</c:v>
                </c:pt>
                <c:pt idx="82">
                  <c:v>0.20482898113207548</c:v>
                </c:pt>
                <c:pt idx="83">
                  <c:v>0.20869071698113209</c:v>
                </c:pt>
                <c:pt idx="84">
                  <c:v>0.2124896603773585</c:v>
                </c:pt>
                <c:pt idx="85">
                  <c:v>0.21622581132075472</c:v>
                </c:pt>
                <c:pt idx="86">
                  <c:v>0.21989916981132077</c:v>
                </c:pt>
                <c:pt idx="87">
                  <c:v>0.22350973584905662</c:v>
                </c:pt>
                <c:pt idx="88">
                  <c:v>0.22705750943396227</c:v>
                </c:pt>
                <c:pt idx="89">
                  <c:v>0.23054249056603773</c:v>
                </c:pt>
                <c:pt idx="90">
                  <c:v>0.23396467924528302</c:v>
                </c:pt>
                <c:pt idx="91">
                  <c:v>0.23732407547169812</c:v>
                </c:pt>
                <c:pt idx="92">
                  <c:v>0.24062067924528302</c:v>
                </c:pt>
                <c:pt idx="93">
                  <c:v>0.24385449056603775</c:v>
                </c:pt>
                <c:pt idx="94">
                  <c:v>0.24702550943396229</c:v>
                </c:pt>
                <c:pt idx="95">
                  <c:v>0.25013373584905663</c:v>
                </c:pt>
                <c:pt idx="96">
                  <c:v>0.25317916981132077</c:v>
                </c:pt>
                <c:pt idx="97">
                  <c:v>0.25616181132075472</c:v>
                </c:pt>
                <c:pt idx="98">
                  <c:v>0.25908166037735847</c:v>
                </c:pt>
                <c:pt idx="99">
                  <c:v>0.26193871698113208</c:v>
                </c:pt>
                <c:pt idx="100">
                  <c:v>0.2647329811320755</c:v>
                </c:pt>
                <c:pt idx="101">
                  <c:v>0.26746445283018871</c:v>
                </c:pt>
                <c:pt idx="102">
                  <c:v>0.27013313207547174</c:v>
                </c:pt>
                <c:pt idx="103">
                  <c:v>0.27273901886792457</c:v>
                </c:pt>
                <c:pt idx="104">
                  <c:v>0.2752821132075472</c:v>
                </c:pt>
                <c:pt idx="105">
                  <c:v>0.27776241509433963</c:v>
                </c:pt>
                <c:pt idx="106">
                  <c:v>0.28017992452830187</c:v>
                </c:pt>
                <c:pt idx="107">
                  <c:v>0.28253464150943397</c:v>
                </c:pt>
                <c:pt idx="108">
                  <c:v>0.28482656603773587</c:v>
                </c:pt>
                <c:pt idx="109">
                  <c:v>0.28705569811320758</c:v>
                </c:pt>
                <c:pt idx="110">
                  <c:v>0.28922203773584909</c:v>
                </c:pt>
                <c:pt idx="111">
                  <c:v>0.29132558490566041</c:v>
                </c:pt>
                <c:pt idx="112">
                  <c:v>0.29336633962264153</c:v>
                </c:pt>
                <c:pt idx="113">
                  <c:v>0.29534430188679245</c:v>
                </c:pt>
                <c:pt idx="114">
                  <c:v>0.29725947169811318</c:v>
                </c:pt>
                <c:pt idx="115">
                  <c:v>0.29911184905660376</c:v>
                </c:pt>
                <c:pt idx="116">
                  <c:v>0.30090143396226415</c:v>
                </c:pt>
                <c:pt idx="117">
                  <c:v>0.30262822641509435</c:v>
                </c:pt>
                <c:pt idx="118">
                  <c:v>0.30429222641509435</c:v>
                </c:pt>
                <c:pt idx="119">
                  <c:v>0.30589343396226415</c:v>
                </c:pt>
                <c:pt idx="120">
                  <c:v>0.30743184905660376</c:v>
                </c:pt>
                <c:pt idx="121">
                  <c:v>0.30890747169811317</c:v>
                </c:pt>
                <c:pt idx="122">
                  <c:v>0.31032030188679244</c:v>
                </c:pt>
                <c:pt idx="123">
                  <c:v>0.31167033962264151</c:v>
                </c:pt>
                <c:pt idx="124">
                  <c:v>0.31295758490566039</c:v>
                </c:pt>
                <c:pt idx="125">
                  <c:v>0.31418203773584907</c:v>
                </c:pt>
                <c:pt idx="126">
                  <c:v>0.31534369811320756</c:v>
                </c:pt>
                <c:pt idx="127">
                  <c:v>0.31644256603773585</c:v>
                </c:pt>
                <c:pt idx="128">
                  <c:v>0.31747864150943395</c:v>
                </c:pt>
                <c:pt idx="129">
                  <c:v>0.31845192452830184</c:v>
                </c:pt>
                <c:pt idx="130">
                  <c:v>0.3193624150943396</c:v>
                </c:pt>
                <c:pt idx="131">
                  <c:v>0.32021011320754716</c:v>
                </c:pt>
                <c:pt idx="132">
                  <c:v>0.32099501886792453</c:v>
                </c:pt>
                <c:pt idx="133">
                  <c:v>0.3217171320754717</c:v>
                </c:pt>
                <c:pt idx="134">
                  <c:v>0.32237645283018868</c:v>
                </c:pt>
                <c:pt idx="135">
                  <c:v>0.32297298113207545</c:v>
                </c:pt>
                <c:pt idx="136">
                  <c:v>0.32350671698113204</c:v>
                </c:pt>
                <c:pt idx="137">
                  <c:v>0.32397766037735848</c:v>
                </c:pt>
                <c:pt idx="138">
                  <c:v>0.32438581132075472</c:v>
                </c:pt>
                <c:pt idx="139">
                  <c:v>0.32473116981132077</c:v>
                </c:pt>
                <c:pt idx="140">
                  <c:v>0.32501373584905663</c:v>
                </c:pt>
                <c:pt idx="141">
                  <c:v>0.32523350943396229</c:v>
                </c:pt>
                <c:pt idx="142">
                  <c:v>0.32539049056603775</c:v>
                </c:pt>
                <c:pt idx="143">
                  <c:v>0.32548467924528302</c:v>
                </c:pt>
                <c:pt idx="144">
                  <c:v>0.32551607547169809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1E-DF48-BC55-723C0AF5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686114076487998"/>
          <c:y val="0.46955920013992425"/>
          <c:w val="0.42735343624751843"/>
          <c:h val="0.1371670973108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76051110835117153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Sheet1!$O$6:$O$7</c:f>
              <c:strCache>
                <c:ptCount val="2"/>
                <c:pt idx="0">
                  <c:v>v = int(v')+C1*x+C2</c:v>
                </c:pt>
                <c:pt idx="1">
                  <c:v>(in)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Sheet1!$O$8:$O$152</c:f>
              <c:numCache>
                <c:formatCode>0.0000</c:formatCode>
                <c:ptCount val="145"/>
                <c:pt idx="0">
                  <c:v>0</c:v>
                </c:pt>
                <c:pt idx="1">
                  <c:v>-4.0685584905660377E-2</c:v>
                </c:pt>
                <c:pt idx="2">
                  <c:v>-8.1355471698113205E-2</c:v>
                </c:pt>
                <c:pt idx="3">
                  <c:v>-0.12199396226415093</c:v>
                </c:pt>
                <c:pt idx="4">
                  <c:v>-0.16258535849056602</c:v>
                </c:pt>
                <c:pt idx="5">
                  <c:v>-0.2031139622641509</c:v>
                </c:pt>
                <c:pt idx="6">
                  <c:v>-0.24356407547169806</c:v>
                </c:pt>
                <c:pt idx="7">
                  <c:v>-0.28391999999999995</c:v>
                </c:pt>
                <c:pt idx="8">
                  <c:v>-0.32416603773584901</c:v>
                </c:pt>
                <c:pt idx="9">
                  <c:v>-0.36428649056603768</c:v>
                </c:pt>
                <c:pt idx="10">
                  <c:v>-0.40426566037735845</c:v>
                </c:pt>
                <c:pt idx="11">
                  <c:v>-0.4440878490566037</c:v>
                </c:pt>
                <c:pt idx="12">
                  <c:v>-0.48373735849056598</c:v>
                </c:pt>
                <c:pt idx="13">
                  <c:v>-0.52319849056603762</c:v>
                </c:pt>
                <c:pt idx="14">
                  <c:v>-0.56245554716981117</c:v>
                </c:pt>
                <c:pt idx="15">
                  <c:v>-0.60149283018867905</c:v>
                </c:pt>
                <c:pt idx="16">
                  <c:v>-0.64029464150943372</c:v>
                </c:pt>
                <c:pt idx="17">
                  <c:v>-0.67884528301886771</c:v>
                </c:pt>
                <c:pt idx="18">
                  <c:v>-0.71712905660377335</c:v>
                </c:pt>
                <c:pt idx="19">
                  <c:v>-0.7551302641509432</c:v>
                </c:pt>
                <c:pt idx="20">
                  <c:v>-0.79283320754716957</c:v>
                </c:pt>
                <c:pt idx="21">
                  <c:v>-0.83022218867924502</c:v>
                </c:pt>
                <c:pt idx="22">
                  <c:v>-0.86728150943396198</c:v>
                </c:pt>
                <c:pt idx="23">
                  <c:v>-0.9039954716981129</c:v>
                </c:pt>
                <c:pt idx="24">
                  <c:v>-0.9403483773584902</c:v>
                </c:pt>
                <c:pt idx="25">
                  <c:v>-0.97632452830188643</c:v>
                </c:pt>
                <c:pt idx="26">
                  <c:v>-1.011908226415094</c:v>
                </c:pt>
                <c:pt idx="27">
                  <c:v>-1.0470837735849055</c:v>
                </c:pt>
                <c:pt idx="28">
                  <c:v>-1.0818354716981129</c:v>
                </c:pt>
                <c:pt idx="29">
                  <c:v>-1.116147622641509</c:v>
                </c:pt>
                <c:pt idx="30">
                  <c:v>-1.1500045283018863</c:v>
                </c:pt>
                <c:pt idx="31">
                  <c:v>-1.1833904905660373</c:v>
                </c:pt>
                <c:pt idx="32">
                  <c:v>-1.2162898113207543</c:v>
                </c:pt>
                <c:pt idx="33">
                  <c:v>-1.2486867924528298</c:v>
                </c:pt>
                <c:pt idx="34">
                  <c:v>-1.2805657358490561</c:v>
                </c:pt>
                <c:pt idx="35">
                  <c:v>-1.3119109433962259</c:v>
                </c:pt>
                <c:pt idx="36">
                  <c:v>-1.3427067169811315</c:v>
                </c:pt>
                <c:pt idx="37">
                  <c:v>-1.3729373584905655</c:v>
                </c:pt>
                <c:pt idx="38">
                  <c:v>-1.4025871698113201</c:v>
                </c:pt>
                <c:pt idx="39">
                  <c:v>-1.431640452830188</c:v>
                </c:pt>
                <c:pt idx="40">
                  <c:v>-1.4600815094339616</c:v>
                </c:pt>
                <c:pt idx="41">
                  <c:v>-1.4878946415094334</c:v>
                </c:pt>
                <c:pt idx="42">
                  <c:v>-1.5150641509433957</c:v>
                </c:pt>
                <c:pt idx="43">
                  <c:v>-1.5415743396226411</c:v>
                </c:pt>
                <c:pt idx="44">
                  <c:v>-1.567409509433962</c:v>
                </c:pt>
                <c:pt idx="45">
                  <c:v>-1.5925539622641507</c:v>
                </c:pt>
                <c:pt idx="46">
                  <c:v>-1.6169919999999998</c:v>
                </c:pt>
                <c:pt idx="47">
                  <c:v>-1.6407079245283016</c:v>
                </c:pt>
                <c:pt idx="48">
                  <c:v>-1.6636860377358487</c:v>
                </c:pt>
                <c:pt idx="49">
                  <c:v>-1.6859106415094336</c:v>
                </c:pt>
                <c:pt idx="50">
                  <c:v>-1.7073660377358486</c:v>
                </c:pt>
                <c:pt idx="51">
                  <c:v>-1.7280365283018864</c:v>
                </c:pt>
                <c:pt idx="52">
                  <c:v>-1.7479064150943391</c:v>
                </c:pt>
                <c:pt idx="53">
                  <c:v>-1.7669599999999994</c:v>
                </c:pt>
                <c:pt idx="54">
                  <c:v>-1.7851815849056598</c:v>
                </c:pt>
                <c:pt idx="55">
                  <c:v>-1.8025554716981127</c:v>
                </c:pt>
                <c:pt idx="56">
                  <c:v>-1.8190659622641505</c:v>
                </c:pt>
                <c:pt idx="57">
                  <c:v>-1.8346973584905657</c:v>
                </c:pt>
                <c:pt idx="58">
                  <c:v>-1.8494339622641507</c:v>
                </c:pt>
                <c:pt idx="59">
                  <c:v>-1.8632600754716979</c:v>
                </c:pt>
                <c:pt idx="60">
                  <c:v>-1.8761599999999998</c:v>
                </c:pt>
                <c:pt idx="61">
                  <c:v>-1.8881180377358489</c:v>
                </c:pt>
                <c:pt idx="62">
                  <c:v>-1.8991184905660374</c:v>
                </c:pt>
                <c:pt idx="63">
                  <c:v>-1.9091456603773582</c:v>
                </c:pt>
                <c:pt idx="64">
                  <c:v>-1.9181838490566034</c:v>
                </c:pt>
                <c:pt idx="65">
                  <c:v>-1.9262173584905657</c:v>
                </c:pt>
                <c:pt idx="66">
                  <c:v>-1.9332304905660374</c:v>
                </c:pt>
                <c:pt idx="67">
                  <c:v>-1.9392075471698109</c:v>
                </c:pt>
                <c:pt idx="68">
                  <c:v>-1.9441328301886789</c:v>
                </c:pt>
                <c:pt idx="69">
                  <c:v>-1.9479906415094337</c:v>
                </c:pt>
                <c:pt idx="70">
                  <c:v>-1.9507652830188675</c:v>
                </c:pt>
                <c:pt idx="71">
                  <c:v>-1.9524410566037731</c:v>
                </c:pt>
                <c:pt idx="72">
                  <c:v>-1.9530022641509428</c:v>
                </c:pt>
                <c:pt idx="73">
                  <c:v>-1.9524410566037731</c:v>
                </c:pt>
                <c:pt idx="74">
                  <c:v>-1.9507652830188675</c:v>
                </c:pt>
                <c:pt idx="75">
                  <c:v>-1.9479906415094335</c:v>
                </c:pt>
                <c:pt idx="76">
                  <c:v>-1.9441328301886787</c:v>
                </c:pt>
                <c:pt idx="77">
                  <c:v>-1.9392075471698107</c:v>
                </c:pt>
                <c:pt idx="78">
                  <c:v>-1.9332304905660371</c:v>
                </c:pt>
                <c:pt idx="79">
                  <c:v>-1.9262173584905655</c:v>
                </c:pt>
                <c:pt idx="80">
                  <c:v>-1.9181838490566032</c:v>
                </c:pt>
                <c:pt idx="81">
                  <c:v>-1.909145660377358</c:v>
                </c:pt>
                <c:pt idx="82">
                  <c:v>-1.8991184905660372</c:v>
                </c:pt>
                <c:pt idx="83">
                  <c:v>-1.8881180377358486</c:v>
                </c:pt>
                <c:pt idx="84">
                  <c:v>-1.8761599999999996</c:v>
                </c:pt>
                <c:pt idx="85">
                  <c:v>-1.8632600754716977</c:v>
                </c:pt>
                <c:pt idx="86">
                  <c:v>-1.8494339622641505</c:v>
                </c:pt>
                <c:pt idx="87">
                  <c:v>-1.8346973584905655</c:v>
                </c:pt>
                <c:pt idx="88">
                  <c:v>-1.8190659622641503</c:v>
                </c:pt>
                <c:pt idx="89">
                  <c:v>-1.8025554716981125</c:v>
                </c:pt>
                <c:pt idx="90">
                  <c:v>-1.7851815849056596</c:v>
                </c:pt>
                <c:pt idx="91">
                  <c:v>-1.7669599999999992</c:v>
                </c:pt>
                <c:pt idx="92">
                  <c:v>-1.7479064150943389</c:v>
                </c:pt>
                <c:pt idx="93">
                  <c:v>-1.7280365283018859</c:v>
                </c:pt>
                <c:pt idx="94">
                  <c:v>-1.7073660377358482</c:v>
                </c:pt>
                <c:pt idx="95">
                  <c:v>-1.6859106415094331</c:v>
                </c:pt>
                <c:pt idx="96">
                  <c:v>-1.6636860377358482</c:v>
                </c:pt>
                <c:pt idx="97">
                  <c:v>-1.6407079245283009</c:v>
                </c:pt>
                <c:pt idx="98">
                  <c:v>-1.6169919999999991</c:v>
                </c:pt>
                <c:pt idx="99">
                  <c:v>-1.59255396226415</c:v>
                </c:pt>
                <c:pt idx="100">
                  <c:v>-1.5674095094339613</c:v>
                </c:pt>
                <c:pt idx="101">
                  <c:v>-1.5415743396226405</c:v>
                </c:pt>
                <c:pt idx="102">
                  <c:v>-1.5150641509433951</c:v>
                </c:pt>
                <c:pt idx="103">
                  <c:v>-1.4878946415094327</c:v>
                </c:pt>
                <c:pt idx="104">
                  <c:v>-1.460081509433961</c:v>
                </c:pt>
                <c:pt idx="105">
                  <c:v>-1.4316404528301874</c:v>
                </c:pt>
                <c:pt idx="106">
                  <c:v>-1.4025871698113195</c:v>
                </c:pt>
                <c:pt idx="107">
                  <c:v>-1.3729373584905649</c:v>
                </c:pt>
                <c:pt idx="108">
                  <c:v>-1.3427067169811309</c:v>
                </c:pt>
                <c:pt idx="109">
                  <c:v>-1.3119109433962253</c:v>
                </c:pt>
                <c:pt idx="110">
                  <c:v>-1.2805657358490554</c:v>
                </c:pt>
                <c:pt idx="111">
                  <c:v>-1.2486867924528291</c:v>
                </c:pt>
                <c:pt idx="112">
                  <c:v>-1.2162898113207536</c:v>
                </c:pt>
                <c:pt idx="113">
                  <c:v>-1.1833904905660366</c:v>
                </c:pt>
                <c:pt idx="114">
                  <c:v>-1.1500045283018856</c:v>
                </c:pt>
                <c:pt idx="115">
                  <c:v>-1.1161476226415084</c:v>
                </c:pt>
                <c:pt idx="116">
                  <c:v>-1.0818354716981122</c:v>
                </c:pt>
                <c:pt idx="117">
                  <c:v>-1.0470837735849048</c:v>
                </c:pt>
                <c:pt idx="118">
                  <c:v>-1.0119082264150934</c:v>
                </c:pt>
                <c:pt idx="119">
                  <c:v>-0.97632452830188576</c:v>
                </c:pt>
                <c:pt idx="120">
                  <c:v>-0.94034837735848953</c:v>
                </c:pt>
                <c:pt idx="121">
                  <c:v>-0.90399547169811223</c:v>
                </c:pt>
                <c:pt idx="122">
                  <c:v>-0.86728150943396132</c:v>
                </c:pt>
                <c:pt idx="123">
                  <c:v>-0.83022218867924436</c:v>
                </c:pt>
                <c:pt idx="124">
                  <c:v>-0.79283320754716891</c:v>
                </c:pt>
                <c:pt idx="125">
                  <c:v>-0.75513026415094253</c:v>
                </c:pt>
                <c:pt idx="126">
                  <c:v>-0.71712905660377269</c:v>
                </c:pt>
                <c:pt idx="127">
                  <c:v>-0.67884528301886704</c:v>
                </c:pt>
                <c:pt idx="128">
                  <c:v>-0.64029464150943305</c:v>
                </c:pt>
                <c:pt idx="129">
                  <c:v>-0.60149283018867838</c:v>
                </c:pt>
                <c:pt idx="130">
                  <c:v>-0.5624555471698105</c:v>
                </c:pt>
                <c:pt idx="131">
                  <c:v>-0.52319849056603696</c:v>
                </c:pt>
                <c:pt idx="132">
                  <c:v>-0.48373735849056526</c:v>
                </c:pt>
                <c:pt idx="133">
                  <c:v>-0.44408784905660298</c:v>
                </c:pt>
                <c:pt idx="134">
                  <c:v>-0.40426566037735767</c:v>
                </c:pt>
                <c:pt idx="135">
                  <c:v>-0.3642864905660369</c:v>
                </c:pt>
                <c:pt idx="136">
                  <c:v>-0.32416603773584823</c:v>
                </c:pt>
                <c:pt idx="137">
                  <c:v>-0.28391999999999917</c:v>
                </c:pt>
                <c:pt idx="138">
                  <c:v>-0.24356407547169728</c:v>
                </c:pt>
                <c:pt idx="139">
                  <c:v>-0.2031139622641501</c:v>
                </c:pt>
                <c:pt idx="140">
                  <c:v>-0.16258535849056518</c:v>
                </c:pt>
                <c:pt idx="141">
                  <c:v>-0.12199396226415007</c:v>
                </c:pt>
                <c:pt idx="142">
                  <c:v>-8.135547169811233E-2</c:v>
                </c:pt>
                <c:pt idx="143">
                  <c:v>-4.0685584905659496E-2</c:v>
                </c:pt>
                <c:pt idx="144">
                  <c:v>8.81239525796218E-16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C-454B-B313-6835755F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layout>
            <c:manualLayout>
              <c:xMode val="edge"/>
              <c:yMode val="edge"/>
              <c:x val="0.45294978514239947"/>
              <c:y val="0.3829941930319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778062610031091"/>
          <c:y val="0.69691412920103957"/>
          <c:w val="0.55371360780237477"/>
          <c:h val="0.1561458726984483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68447453000497"/>
          <c:y val="5.3900554097404491E-2"/>
          <c:w val="0.81270255883662057"/>
          <c:h val="0.64756614509739929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Sheet1!$N$6:$N$7</c:f>
              <c:strCache>
                <c:ptCount val="2"/>
                <c:pt idx="0">
                  <c:v>v' = int(v'')+C1</c:v>
                </c:pt>
                <c:pt idx="1">
                  <c:v>(rads)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Sheet1!$A$8:$A$152</c:f>
              <c:numCache>
                <c:formatCode>0.00</c:formatCode>
                <c:ptCount val="14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</c:numCache>
            </c:numRef>
          </c:xVal>
          <c:yVal>
            <c:numRef>
              <c:f>Sheet1!$N$8:$N$152</c:f>
              <c:numCache>
                <c:formatCode>0.0000</c:formatCode>
                <c:ptCount val="145"/>
                <c:pt idx="0">
                  <c:v>-0.16275803773584904</c:v>
                </c:pt>
                <c:pt idx="1">
                  <c:v>-0.16272664150943394</c:v>
                </c:pt>
                <c:pt idx="2">
                  <c:v>-0.16263245283018868</c:v>
                </c:pt>
                <c:pt idx="3">
                  <c:v>-0.16247547169811319</c:v>
                </c:pt>
                <c:pt idx="4">
                  <c:v>-0.16225569811320753</c:v>
                </c:pt>
                <c:pt idx="5">
                  <c:v>-0.16197313207547168</c:v>
                </c:pt>
                <c:pt idx="6">
                  <c:v>-0.16162777358490565</c:v>
                </c:pt>
                <c:pt idx="7">
                  <c:v>-0.16121962264150941</c:v>
                </c:pt>
                <c:pt idx="8">
                  <c:v>-0.16074867924528299</c:v>
                </c:pt>
                <c:pt idx="9">
                  <c:v>-0.16021494339622641</c:v>
                </c:pt>
                <c:pt idx="10">
                  <c:v>-0.15961841509433961</c:v>
                </c:pt>
                <c:pt idx="11">
                  <c:v>-0.15895909433962263</c:v>
                </c:pt>
                <c:pt idx="12">
                  <c:v>-0.15823698113207546</c:v>
                </c:pt>
                <c:pt idx="13">
                  <c:v>-0.15745207547169809</c:v>
                </c:pt>
                <c:pt idx="14">
                  <c:v>-0.15660437735849056</c:v>
                </c:pt>
                <c:pt idx="15">
                  <c:v>-0.15569388679245283</c:v>
                </c:pt>
                <c:pt idx="16">
                  <c:v>-0.1547206037735849</c:v>
                </c:pt>
                <c:pt idx="17">
                  <c:v>-0.15368452830188678</c:v>
                </c:pt>
                <c:pt idx="18">
                  <c:v>-0.15258566037735849</c:v>
                </c:pt>
                <c:pt idx="19">
                  <c:v>-0.15142399999999998</c:v>
                </c:pt>
                <c:pt idx="20">
                  <c:v>-0.15019954716981132</c:v>
                </c:pt>
                <c:pt idx="21">
                  <c:v>-0.14891230188679244</c:v>
                </c:pt>
                <c:pt idx="22">
                  <c:v>-0.14756226415094337</c:v>
                </c:pt>
                <c:pt idx="23">
                  <c:v>-0.14614943396226412</c:v>
                </c:pt>
                <c:pt idx="24">
                  <c:v>-0.14467381132075469</c:v>
                </c:pt>
                <c:pt idx="25">
                  <c:v>-0.14313539622641508</c:v>
                </c:pt>
                <c:pt idx="26">
                  <c:v>-0.14153418867924528</c:v>
                </c:pt>
                <c:pt idx="27">
                  <c:v>-0.13987018867924528</c:v>
                </c:pt>
                <c:pt idx="28">
                  <c:v>-0.13814339622641508</c:v>
                </c:pt>
                <c:pt idx="29">
                  <c:v>-0.13635381132075469</c:v>
                </c:pt>
                <c:pt idx="30">
                  <c:v>-0.13450143396226413</c:v>
                </c:pt>
                <c:pt idx="31">
                  <c:v>-0.13258626415094338</c:v>
                </c:pt>
                <c:pt idx="32">
                  <c:v>-0.13060830188679243</c:v>
                </c:pt>
                <c:pt idx="33">
                  <c:v>-0.12856754716981131</c:v>
                </c:pt>
                <c:pt idx="34">
                  <c:v>-0.12646399999999997</c:v>
                </c:pt>
                <c:pt idx="35">
                  <c:v>-0.12429766037735847</c:v>
                </c:pt>
                <c:pt idx="36">
                  <c:v>-0.12206852830188678</c:v>
                </c:pt>
                <c:pt idx="37">
                  <c:v>-0.11977660377358487</c:v>
                </c:pt>
                <c:pt idx="38">
                  <c:v>-0.1174218867924528</c:v>
                </c:pt>
                <c:pt idx="39">
                  <c:v>-0.11500437735849053</c:v>
                </c:pt>
                <c:pt idx="40">
                  <c:v>-0.11252407547169808</c:v>
                </c:pt>
                <c:pt idx="41">
                  <c:v>-0.10998098113207544</c:v>
                </c:pt>
                <c:pt idx="42">
                  <c:v>-0.10737509433962261</c:v>
                </c:pt>
                <c:pt idx="43">
                  <c:v>-0.10470641509433959</c:v>
                </c:pt>
                <c:pt idx="44">
                  <c:v>-0.1019749433962264</c:v>
                </c:pt>
                <c:pt idx="45">
                  <c:v>-9.9180679245282996E-2</c:v>
                </c:pt>
                <c:pt idx="46">
                  <c:v>-9.6323622641509413E-2</c:v>
                </c:pt>
                <c:pt idx="47">
                  <c:v>-9.3403773584905633E-2</c:v>
                </c:pt>
                <c:pt idx="48">
                  <c:v>-9.0421132075471672E-2</c:v>
                </c:pt>
                <c:pt idx="49">
                  <c:v>-8.7375698113207514E-2</c:v>
                </c:pt>
                <c:pt idx="50">
                  <c:v>-8.4267471698113175E-2</c:v>
                </c:pt>
                <c:pt idx="51">
                  <c:v>-8.1096452830188653E-2</c:v>
                </c:pt>
                <c:pt idx="52">
                  <c:v>-7.7862641509433936E-2</c:v>
                </c:pt>
                <c:pt idx="53">
                  <c:v>-7.4566037735849036E-2</c:v>
                </c:pt>
                <c:pt idx="54">
                  <c:v>-7.1206641509433941E-2</c:v>
                </c:pt>
                <c:pt idx="55">
                  <c:v>-6.7784452830188663E-2</c:v>
                </c:pt>
                <c:pt idx="56">
                  <c:v>-6.4299471698113189E-2</c:v>
                </c:pt>
                <c:pt idx="57">
                  <c:v>-6.0751698113207533E-2</c:v>
                </c:pt>
                <c:pt idx="58">
                  <c:v>-5.7141132075471682E-2</c:v>
                </c:pt>
                <c:pt idx="59">
                  <c:v>-5.3467773584905648E-2</c:v>
                </c:pt>
                <c:pt idx="60">
                  <c:v>-4.9731622641509418E-2</c:v>
                </c:pt>
                <c:pt idx="61">
                  <c:v>-4.5932679245283006E-2</c:v>
                </c:pt>
                <c:pt idx="62">
                  <c:v>-4.2070943396226398E-2</c:v>
                </c:pt>
                <c:pt idx="63">
                  <c:v>-3.8146415094339609E-2</c:v>
                </c:pt>
                <c:pt idx="64">
                  <c:v>-3.4159094339622637E-2</c:v>
                </c:pt>
                <c:pt idx="65">
                  <c:v>-3.0108981132075469E-2</c:v>
                </c:pt>
                <c:pt idx="66">
                  <c:v>-2.5996075471698105E-2</c:v>
                </c:pt>
                <c:pt idx="67">
                  <c:v>-2.1820377358490545E-2</c:v>
                </c:pt>
                <c:pt idx="68">
                  <c:v>-1.7581886792452817E-2</c:v>
                </c:pt>
                <c:pt idx="69">
                  <c:v>-1.3280603773584893E-2</c:v>
                </c:pt>
                <c:pt idx="70">
                  <c:v>-8.9165283018867725E-3</c:v>
                </c:pt>
                <c:pt idx="71">
                  <c:v>-4.4896603773584565E-3</c:v>
                </c:pt>
                <c:pt idx="72">
                  <c:v>0</c:v>
                </c:pt>
                <c:pt idx="73">
                  <c:v>4.489660377358512E-3</c:v>
                </c:pt>
                <c:pt idx="74">
                  <c:v>8.9165283018868002E-3</c:v>
                </c:pt>
                <c:pt idx="75">
                  <c:v>1.328060377358492E-2</c:v>
                </c:pt>
                <c:pt idx="76">
                  <c:v>1.7581886792452844E-2</c:v>
                </c:pt>
                <c:pt idx="77">
                  <c:v>2.1820377358490572E-2</c:v>
                </c:pt>
                <c:pt idx="78">
                  <c:v>2.5996075471698132E-2</c:v>
                </c:pt>
                <c:pt idx="79">
                  <c:v>3.0108981132075496E-2</c:v>
                </c:pt>
                <c:pt idx="80">
                  <c:v>3.4159094339622664E-2</c:v>
                </c:pt>
                <c:pt idx="81">
                  <c:v>3.8146415094339636E-2</c:v>
                </c:pt>
                <c:pt idx="82">
                  <c:v>4.207094339622644E-2</c:v>
                </c:pt>
                <c:pt idx="83">
                  <c:v>4.5932679245283048E-2</c:v>
                </c:pt>
                <c:pt idx="84">
                  <c:v>4.973162264150946E-2</c:v>
                </c:pt>
                <c:pt idx="85">
                  <c:v>5.3467773584905676E-2</c:v>
                </c:pt>
                <c:pt idx="86">
                  <c:v>5.7141132075471723E-2</c:v>
                </c:pt>
                <c:pt idx="87">
                  <c:v>6.0751698113207575E-2</c:v>
                </c:pt>
                <c:pt idx="88">
                  <c:v>6.4299471698113231E-2</c:v>
                </c:pt>
                <c:pt idx="89">
                  <c:v>6.7784452830188691E-2</c:v>
                </c:pt>
                <c:pt idx="90">
                  <c:v>7.1206641509433982E-2</c:v>
                </c:pt>
                <c:pt idx="91">
                  <c:v>7.4566037735849078E-2</c:v>
                </c:pt>
                <c:pt idx="92">
                  <c:v>7.7862641509433977E-2</c:v>
                </c:pt>
                <c:pt idx="93">
                  <c:v>8.1096452830188709E-2</c:v>
                </c:pt>
                <c:pt idx="94">
                  <c:v>8.4267471698113244E-2</c:v>
                </c:pt>
                <c:pt idx="95">
                  <c:v>8.7375698113207584E-2</c:v>
                </c:pt>
                <c:pt idx="96">
                  <c:v>9.0421132075471727E-2</c:v>
                </c:pt>
                <c:pt idx="97">
                  <c:v>9.3403773584905675E-2</c:v>
                </c:pt>
                <c:pt idx="98">
                  <c:v>9.6323622641509427E-2</c:v>
                </c:pt>
                <c:pt idx="99">
                  <c:v>9.9180679245283038E-2</c:v>
                </c:pt>
                <c:pt idx="100">
                  <c:v>0.10197494339622645</c:v>
                </c:pt>
                <c:pt idx="101">
                  <c:v>0.10470641509433967</c:v>
                </c:pt>
                <c:pt idx="102">
                  <c:v>0.1073750943396227</c:v>
                </c:pt>
                <c:pt idx="103">
                  <c:v>0.10998098113207552</c:v>
                </c:pt>
                <c:pt idx="104">
                  <c:v>0.11252407547169815</c:v>
                </c:pt>
                <c:pt idx="105">
                  <c:v>0.11500437735849059</c:v>
                </c:pt>
                <c:pt idx="106">
                  <c:v>0.11742188679245283</c:v>
                </c:pt>
                <c:pt idx="107">
                  <c:v>0.11977660377358493</c:v>
                </c:pt>
                <c:pt idx="108">
                  <c:v>0.12206852830188683</c:v>
                </c:pt>
                <c:pt idx="109">
                  <c:v>0.12429766037735854</c:v>
                </c:pt>
                <c:pt idx="110">
                  <c:v>0.12646400000000005</c:v>
                </c:pt>
                <c:pt idx="111">
                  <c:v>0.12856754716981136</c:v>
                </c:pt>
                <c:pt idx="112">
                  <c:v>0.13060830188679248</c:v>
                </c:pt>
                <c:pt idx="113">
                  <c:v>0.13258626415094341</c:v>
                </c:pt>
                <c:pt idx="114">
                  <c:v>0.13450143396226413</c:v>
                </c:pt>
                <c:pt idx="115">
                  <c:v>0.13635381132075472</c:v>
                </c:pt>
                <c:pt idx="116">
                  <c:v>0.13814339622641511</c:v>
                </c:pt>
                <c:pt idx="117">
                  <c:v>0.13987018867924531</c:v>
                </c:pt>
                <c:pt idx="118">
                  <c:v>0.1415341886792453</c:v>
                </c:pt>
                <c:pt idx="119">
                  <c:v>0.14313539622641511</c:v>
                </c:pt>
                <c:pt idx="120">
                  <c:v>0.14467381132075471</c:v>
                </c:pt>
                <c:pt idx="121">
                  <c:v>0.14614943396226412</c:v>
                </c:pt>
                <c:pt idx="122">
                  <c:v>0.1475622641509434</c:v>
                </c:pt>
                <c:pt idx="123">
                  <c:v>0.14891230188679247</c:v>
                </c:pt>
                <c:pt idx="124">
                  <c:v>0.15019954716981135</c:v>
                </c:pt>
                <c:pt idx="125">
                  <c:v>0.15142400000000003</c:v>
                </c:pt>
                <c:pt idx="126">
                  <c:v>0.15258566037735852</c:v>
                </c:pt>
                <c:pt idx="127">
                  <c:v>0.15368452830188681</c:v>
                </c:pt>
                <c:pt idx="128">
                  <c:v>0.1547206037735849</c:v>
                </c:pt>
                <c:pt idx="129">
                  <c:v>0.1556938867924528</c:v>
                </c:pt>
                <c:pt idx="130">
                  <c:v>0.15660437735849056</c:v>
                </c:pt>
                <c:pt idx="131">
                  <c:v>0.15745207547169812</c:v>
                </c:pt>
                <c:pt idx="132">
                  <c:v>0.15823698113207549</c:v>
                </c:pt>
                <c:pt idx="133">
                  <c:v>0.15895909433962266</c:v>
                </c:pt>
                <c:pt idx="134">
                  <c:v>0.15961841509433963</c:v>
                </c:pt>
                <c:pt idx="135">
                  <c:v>0.16021494339622641</c:v>
                </c:pt>
                <c:pt idx="136">
                  <c:v>0.16074867924528299</c:v>
                </c:pt>
                <c:pt idx="137">
                  <c:v>0.16121962264150944</c:v>
                </c:pt>
                <c:pt idx="138">
                  <c:v>0.16162777358490568</c:v>
                </c:pt>
                <c:pt idx="139">
                  <c:v>0.16197313207547173</c:v>
                </c:pt>
                <c:pt idx="140">
                  <c:v>0.16225569811320759</c:v>
                </c:pt>
                <c:pt idx="141">
                  <c:v>0.16247547169811324</c:v>
                </c:pt>
                <c:pt idx="142">
                  <c:v>0.16263245283018871</c:v>
                </c:pt>
                <c:pt idx="143">
                  <c:v>0.16272664150943397</c:v>
                </c:pt>
                <c:pt idx="144">
                  <c:v>0.16275803773584904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E-8F4A-B7E0-7D5D7D0C3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844640"/>
        <c:axId val="1826841712"/>
      </c:scatterChart>
      <c:valAx>
        <c:axId val="1826844640"/>
        <c:scaling>
          <c:orientation val="minMax"/>
          <c:max val="3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 (in)</a:t>
                </a:r>
              </a:p>
            </c:rich>
          </c:tx>
          <c:layout>
            <c:manualLayout>
              <c:xMode val="edge"/>
              <c:yMode val="edge"/>
              <c:x val="0.47896504054762701"/>
              <c:y val="0.614806919848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1712"/>
        <c:crosses val="autoZero"/>
        <c:crossBetween val="midCat"/>
        <c:majorUnit val="4"/>
      </c:valAx>
      <c:valAx>
        <c:axId val="1826841712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684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3630042701427"/>
          <c:y val="4.8258967629046308E-2"/>
          <c:w val="0.53895138825939359"/>
          <c:h val="0.1592127509625365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142713</xdr:colOff>
      <xdr:row>1</xdr:row>
      <xdr:rowOff>29324</xdr:rowOff>
    </xdr:from>
    <xdr:to>
      <xdr:col>19</xdr:col>
      <xdr:colOff>248763</xdr:colOff>
      <xdr:row>14</xdr:row>
      <xdr:rowOff>49225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B34A40-37EB-4EB5-912A-39A1073B3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340412</xdr:colOff>
      <xdr:row>1</xdr:row>
      <xdr:rowOff>39274</xdr:rowOff>
    </xdr:from>
    <xdr:to>
      <xdr:col>23</xdr:col>
      <xdr:colOff>458247</xdr:colOff>
      <xdr:row>14</xdr:row>
      <xdr:rowOff>59175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C9683F-8470-B941-A49C-3BF43BE38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130927</xdr:colOff>
      <xdr:row>14</xdr:row>
      <xdr:rowOff>52366</xdr:rowOff>
    </xdr:from>
    <xdr:to>
      <xdr:col>19</xdr:col>
      <xdr:colOff>248763</xdr:colOff>
      <xdr:row>27</xdr:row>
      <xdr:rowOff>72268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4BB0BB-04EF-074C-BE38-29E229713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340412</xdr:colOff>
      <xdr:row>14</xdr:row>
      <xdr:rowOff>52366</xdr:rowOff>
    </xdr:from>
    <xdr:to>
      <xdr:col>23</xdr:col>
      <xdr:colOff>458247</xdr:colOff>
      <xdr:row>27</xdr:row>
      <xdr:rowOff>72268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D579C4-416E-5C4D-99D6-8D965A1E7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130927</xdr:colOff>
      <xdr:row>27</xdr:row>
      <xdr:rowOff>65459</xdr:rowOff>
    </xdr:from>
    <xdr:to>
      <xdr:col>19</xdr:col>
      <xdr:colOff>248761</xdr:colOff>
      <xdr:row>33</xdr:row>
      <xdr:rowOff>65458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100CDB-D371-A541-9F99-38FDFEB68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340412</xdr:colOff>
      <xdr:row>27</xdr:row>
      <xdr:rowOff>78552</xdr:rowOff>
    </xdr:from>
    <xdr:to>
      <xdr:col>23</xdr:col>
      <xdr:colOff>458247</xdr:colOff>
      <xdr:row>33</xdr:row>
      <xdr:rowOff>130923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B370DA-2FEF-FA46-92A8-9BCDABC13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130929</xdr:colOff>
      <xdr:row>33</xdr:row>
      <xdr:rowOff>65460</xdr:rowOff>
    </xdr:from>
    <xdr:to>
      <xdr:col>19</xdr:col>
      <xdr:colOff>248763</xdr:colOff>
      <xdr:row>40</xdr:row>
      <xdr:rowOff>104739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8E0E28-8E77-C84D-8FF3-F92EE18B6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340414</xdr:colOff>
      <xdr:row>33</xdr:row>
      <xdr:rowOff>130923</xdr:rowOff>
    </xdr:from>
    <xdr:to>
      <xdr:col>23</xdr:col>
      <xdr:colOff>458249</xdr:colOff>
      <xdr:row>40</xdr:row>
      <xdr:rowOff>104737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DCC36C2-ADE7-F649-96E6-7DDFA4836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E63F-F44E-0E4B-A7E6-095F99CFC38A}">
  <dimension ref="A1:X152"/>
  <sheetViews>
    <sheetView tabSelected="1" zoomScale="83" workbookViewId="0">
      <selection activeCell="AA11" sqref="AA11"/>
    </sheetView>
  </sheetViews>
  <sheetFormatPr baseColWidth="10" defaultRowHeight="16" x14ac:dyDescent="0.2"/>
  <cols>
    <col min="1" max="1" width="11" style="1" bestFit="1" customWidth="1"/>
    <col min="2" max="2" width="12" style="1" bestFit="1" customWidth="1"/>
    <col min="3" max="4" width="11" style="1" bestFit="1" customWidth="1"/>
    <col min="5" max="6" width="11" style="1" customWidth="1"/>
    <col min="7" max="9" width="11" style="1" bestFit="1" customWidth="1"/>
    <col min="10" max="10" width="11" style="1" customWidth="1"/>
    <col min="11" max="13" width="11" style="1" bestFit="1" customWidth="1"/>
    <col min="14" max="14" width="13.33203125" style="1" bestFit="1" customWidth="1"/>
    <col min="15" max="15" width="17.6640625" style="1" bestFit="1" customWidth="1"/>
    <col min="16" max="16384" width="10.83203125" style="1"/>
  </cols>
  <sheetData>
    <row r="1" spans="1:24" ht="17" thickBot="1" x14ac:dyDescent="0.25">
      <c r="A1" s="41" t="s">
        <v>35</v>
      </c>
      <c r="B1" s="42"/>
      <c r="C1" s="43"/>
      <c r="E1" s="44" t="s">
        <v>39</v>
      </c>
      <c r="F1" s="44"/>
      <c r="G1" s="44"/>
      <c r="P1" s="45"/>
      <c r="Q1" s="46"/>
      <c r="R1" s="46"/>
      <c r="S1" s="46"/>
      <c r="T1" s="46"/>
      <c r="U1" s="46"/>
      <c r="V1" s="46"/>
      <c r="W1" s="46"/>
      <c r="X1" s="49"/>
    </row>
    <row r="2" spans="1:24" x14ac:dyDescent="0.2">
      <c r="A2" s="25" t="s">
        <v>11</v>
      </c>
      <c r="B2" s="2">
        <v>37000</v>
      </c>
      <c r="C2" s="26" t="s">
        <v>7</v>
      </c>
      <c r="E2" s="3" t="s">
        <v>8</v>
      </c>
      <c r="F2" s="3">
        <v>2.6</v>
      </c>
      <c r="G2" s="3" t="s">
        <v>9</v>
      </c>
      <c r="L2" s="39" t="s">
        <v>30</v>
      </c>
      <c r="M2" s="40"/>
      <c r="N2" s="6" t="s">
        <v>31</v>
      </c>
      <c r="O2" s="15" t="s">
        <v>32</v>
      </c>
      <c r="P2" s="48"/>
      <c r="Q2" s="52"/>
      <c r="R2" s="52"/>
      <c r="S2" s="52"/>
      <c r="T2" s="52"/>
      <c r="U2" s="52"/>
      <c r="V2" s="52"/>
      <c r="W2" s="52"/>
      <c r="X2" s="47"/>
    </row>
    <row r="3" spans="1:24" ht="17" thickBot="1" x14ac:dyDescent="0.25">
      <c r="A3" s="27" t="s">
        <v>12</v>
      </c>
      <c r="B3" s="10">
        <v>10600000</v>
      </c>
      <c r="C3" s="28" t="s">
        <v>7</v>
      </c>
      <c r="E3" s="3" t="s">
        <v>40</v>
      </c>
      <c r="F3" s="3">
        <v>18</v>
      </c>
      <c r="G3" s="3" t="s">
        <v>5</v>
      </c>
      <c r="L3" s="7" t="s">
        <v>28</v>
      </c>
      <c r="M3" s="4" t="s">
        <v>29</v>
      </c>
      <c r="N3" s="5" t="s">
        <v>15</v>
      </c>
      <c r="O3" s="16" t="s">
        <v>16</v>
      </c>
      <c r="P3" s="48"/>
      <c r="Q3" s="52"/>
      <c r="R3" s="52"/>
      <c r="S3" s="52"/>
      <c r="T3" s="52"/>
      <c r="U3" s="52"/>
      <c r="V3" s="52"/>
      <c r="W3" s="52"/>
      <c r="X3" s="47"/>
    </row>
    <row r="4" spans="1:24" ht="17" thickBot="1" x14ac:dyDescent="0.25">
      <c r="E4" s="3" t="s">
        <v>41</v>
      </c>
      <c r="F4" s="3">
        <v>36</v>
      </c>
      <c r="G4" s="3" t="s">
        <v>5</v>
      </c>
      <c r="L4" s="8">
        <f>M8</f>
        <v>0</v>
      </c>
      <c r="M4" s="9">
        <f>M152</f>
        <v>5.8592893584905656</v>
      </c>
      <c r="N4" s="10">
        <f>-M4/36</f>
        <v>-0.16275803773584904</v>
      </c>
      <c r="O4" s="17">
        <v>0</v>
      </c>
      <c r="P4" s="48"/>
      <c r="Q4" s="52"/>
      <c r="R4" s="52"/>
      <c r="S4" s="52"/>
      <c r="T4" s="52"/>
      <c r="U4" s="52"/>
      <c r="V4" s="52"/>
      <c r="W4" s="52"/>
      <c r="X4" s="47"/>
    </row>
    <row r="5" spans="1:24" ht="17" thickBot="1" x14ac:dyDescent="0.25">
      <c r="B5" s="45" t="s">
        <v>34</v>
      </c>
      <c r="C5" s="46"/>
      <c r="D5" s="46"/>
      <c r="E5" s="47"/>
      <c r="F5" s="48" t="s">
        <v>42</v>
      </c>
      <c r="G5" s="47"/>
      <c r="H5" s="45" t="s">
        <v>43</v>
      </c>
      <c r="I5" s="46"/>
      <c r="J5" s="49"/>
      <c r="K5" s="50" t="s">
        <v>44</v>
      </c>
      <c r="L5" s="51"/>
      <c r="M5" s="51"/>
      <c r="N5" s="51"/>
      <c r="O5" s="51"/>
      <c r="P5" s="48"/>
      <c r="Q5" s="52"/>
      <c r="R5" s="52"/>
      <c r="S5" s="52"/>
      <c r="T5" s="52"/>
      <c r="U5" s="52"/>
      <c r="V5" s="52"/>
      <c r="W5" s="52"/>
      <c r="X5" s="47"/>
    </row>
    <row r="6" spans="1:24" x14ac:dyDescent="0.2">
      <c r="A6" s="18" t="s">
        <v>0</v>
      </c>
      <c r="B6" s="19" t="s">
        <v>1</v>
      </c>
      <c r="C6" s="19" t="s">
        <v>2</v>
      </c>
      <c r="D6" s="19" t="s">
        <v>3</v>
      </c>
      <c r="E6" s="19" t="s">
        <v>13</v>
      </c>
      <c r="F6" s="19" t="s">
        <v>37</v>
      </c>
      <c r="G6" s="19" t="s">
        <v>4</v>
      </c>
      <c r="H6" s="19" t="s">
        <v>6</v>
      </c>
      <c r="I6" s="19" t="s">
        <v>10</v>
      </c>
      <c r="J6" s="19" t="s">
        <v>27</v>
      </c>
      <c r="K6" s="19" t="s">
        <v>33</v>
      </c>
      <c r="L6" s="19" t="s">
        <v>14</v>
      </c>
      <c r="M6" s="19" t="s">
        <v>17</v>
      </c>
      <c r="N6" s="19" t="s">
        <v>18</v>
      </c>
      <c r="O6" s="23" t="s">
        <v>19</v>
      </c>
      <c r="P6" s="48"/>
      <c r="Q6" s="52"/>
      <c r="R6" s="52"/>
      <c r="S6" s="52"/>
      <c r="T6" s="52"/>
      <c r="U6" s="52"/>
      <c r="V6" s="52"/>
      <c r="W6" s="52"/>
      <c r="X6" s="47"/>
    </row>
    <row r="7" spans="1:24" ht="17" thickBot="1" x14ac:dyDescent="0.25">
      <c r="A7" s="20" t="s">
        <v>20</v>
      </c>
      <c r="B7" s="21" t="s">
        <v>20</v>
      </c>
      <c r="C7" s="21" t="s">
        <v>20</v>
      </c>
      <c r="D7" s="21" t="s">
        <v>21</v>
      </c>
      <c r="E7" s="21" t="s">
        <v>36</v>
      </c>
      <c r="F7" s="21" t="s">
        <v>38</v>
      </c>
      <c r="G7" s="21" t="s">
        <v>22</v>
      </c>
      <c r="H7" s="21" t="s">
        <v>23</v>
      </c>
      <c r="I7" s="22" t="s">
        <v>24</v>
      </c>
      <c r="J7" s="22" t="s">
        <v>24</v>
      </c>
      <c r="K7" s="21" t="s">
        <v>25</v>
      </c>
      <c r="L7" s="21" t="s">
        <v>26</v>
      </c>
      <c r="M7" s="21" t="s">
        <v>20</v>
      </c>
      <c r="N7" s="21" t="s">
        <v>26</v>
      </c>
      <c r="O7" s="24" t="s">
        <v>20</v>
      </c>
      <c r="P7" s="48"/>
      <c r="Q7" s="52"/>
      <c r="R7" s="52"/>
      <c r="S7" s="52"/>
      <c r="T7" s="52"/>
      <c r="U7" s="52"/>
      <c r="V7" s="52"/>
      <c r="W7" s="52"/>
      <c r="X7" s="47"/>
    </row>
    <row r="8" spans="1:24" x14ac:dyDescent="0.2">
      <c r="A8" s="11">
        <v>0</v>
      </c>
      <c r="B8" s="12">
        <f>1/8</f>
        <v>0.125</v>
      </c>
      <c r="C8" s="12">
        <f>3/4</f>
        <v>0.75</v>
      </c>
      <c r="D8" s="29">
        <f t="shared" ref="D8:D39" si="0">1/12*C8*B8^3</f>
        <v>1.220703125E-4</v>
      </c>
      <c r="E8" s="29">
        <f>D8/(B8/2)</f>
        <v>1.953125E-3</v>
      </c>
      <c r="F8" s="29">
        <f t="shared" ref="F8:F39" si="1">0.5*$F$2-$F$2*GESTEP(A8,18)+0.5*$F$2*GESTEP(A8,36)</f>
        <v>1.3</v>
      </c>
      <c r="G8" s="12">
        <f t="shared" ref="G8:G39" si="2">0.5*$F$2*A8-$F$2*MAX(0,A8-18)</f>
        <v>0</v>
      </c>
      <c r="H8" s="12">
        <f t="shared" ref="H8:H39" si="3">ABS(G8*(B8/2)/D8)</f>
        <v>0</v>
      </c>
      <c r="I8" s="12" t="e">
        <f t="shared" ref="I8:I39" si="4">$B$2/H8</f>
        <v>#DIV/0!</v>
      </c>
      <c r="J8" s="12">
        <v>1.5</v>
      </c>
      <c r="K8" s="30">
        <f t="shared" ref="K8:K39" si="5">G8/($B$3*D8)</f>
        <v>0</v>
      </c>
      <c r="L8" s="30">
        <v>0</v>
      </c>
      <c r="M8" s="30">
        <f>O4</f>
        <v>0</v>
      </c>
      <c r="N8" s="30">
        <f>L8+$N$4</f>
        <v>-0.16275803773584904</v>
      </c>
      <c r="O8" s="31">
        <f>O4</f>
        <v>0</v>
      </c>
      <c r="P8" s="52"/>
      <c r="Q8" s="52"/>
      <c r="R8" s="52"/>
      <c r="S8" s="52"/>
      <c r="T8" s="52"/>
      <c r="U8" s="52"/>
      <c r="V8" s="52"/>
      <c r="W8" s="52"/>
      <c r="X8" s="47"/>
    </row>
    <row r="9" spans="1:24" x14ac:dyDescent="0.2">
      <c r="A9" s="32">
        <v>0.25</v>
      </c>
      <c r="B9" s="1">
        <f t="shared" ref="B9:B72" si="6">1/8</f>
        <v>0.125</v>
      </c>
      <c r="C9" s="1">
        <f t="shared" ref="C9:C72" si="7">3/4</f>
        <v>0.75</v>
      </c>
      <c r="D9" s="33">
        <f t="shared" si="0"/>
        <v>1.220703125E-4</v>
      </c>
      <c r="E9" s="33">
        <f t="shared" ref="E9:E72" si="8">D9/(B9/2)</f>
        <v>1.953125E-3</v>
      </c>
      <c r="F9" s="33">
        <f t="shared" si="1"/>
        <v>1.3</v>
      </c>
      <c r="G9" s="1">
        <f t="shared" si="2"/>
        <v>0.32500000000000001</v>
      </c>
      <c r="H9" s="1">
        <f t="shared" si="3"/>
        <v>166.4</v>
      </c>
      <c r="I9" s="1">
        <f t="shared" si="4"/>
        <v>222.35576923076923</v>
      </c>
      <c r="J9" s="1">
        <v>1.5</v>
      </c>
      <c r="K9" s="34">
        <f t="shared" si="5"/>
        <v>2.511698113207547E-4</v>
      </c>
      <c r="L9" s="34">
        <f>L8+AVERAGE(K8:K9)*(A9-A8)</f>
        <v>3.1396226415094337E-5</v>
      </c>
      <c r="M9" s="34">
        <f>M8+AVERAGE(L8:L9)*(A9-A8)</f>
        <v>3.9245283018867922E-6</v>
      </c>
      <c r="N9" s="34">
        <f t="shared" ref="N9:N72" si="9">L9+$N$4</f>
        <v>-0.16272664150943394</v>
      </c>
      <c r="O9" s="35">
        <f>O8+AVERAGE(N8:N9)*(A9-A8)</f>
        <v>-4.0685584905660377E-2</v>
      </c>
      <c r="P9" s="52"/>
      <c r="Q9" s="52"/>
      <c r="R9" s="52"/>
      <c r="S9" s="52"/>
      <c r="T9" s="52"/>
      <c r="U9" s="52"/>
      <c r="V9" s="52"/>
      <c r="W9" s="52"/>
      <c r="X9" s="47"/>
    </row>
    <row r="10" spans="1:24" x14ac:dyDescent="0.2">
      <c r="A10" s="32">
        <v>0.5</v>
      </c>
      <c r="B10" s="1">
        <f t="shared" si="6"/>
        <v>0.125</v>
      </c>
      <c r="C10" s="1">
        <f t="shared" si="7"/>
        <v>0.75</v>
      </c>
      <c r="D10" s="33">
        <f t="shared" si="0"/>
        <v>1.220703125E-4</v>
      </c>
      <c r="E10" s="33">
        <f t="shared" si="8"/>
        <v>1.953125E-3</v>
      </c>
      <c r="F10" s="33">
        <f t="shared" si="1"/>
        <v>1.3</v>
      </c>
      <c r="G10" s="1">
        <f t="shared" si="2"/>
        <v>0.65</v>
      </c>
      <c r="H10" s="1">
        <f t="shared" si="3"/>
        <v>332.8</v>
      </c>
      <c r="I10" s="1">
        <f t="shared" si="4"/>
        <v>111.17788461538461</v>
      </c>
      <c r="J10" s="1">
        <v>1.5</v>
      </c>
      <c r="K10" s="34">
        <f t="shared" si="5"/>
        <v>5.023396226415094E-4</v>
      </c>
      <c r="L10" s="34">
        <f t="shared" ref="L10:L73" si="10">L9+AVERAGE(K9:K10)*(A10-A9)</f>
        <v>1.2558490566037735E-4</v>
      </c>
      <c r="M10" s="34">
        <f t="shared" ref="M10:M73" si="11">M9+AVERAGE(L9:L10)*(A10-A9)</f>
        <v>2.3547169811320756E-5</v>
      </c>
      <c r="N10" s="34">
        <f t="shared" si="9"/>
        <v>-0.16263245283018868</v>
      </c>
      <c r="O10" s="35">
        <f t="shared" ref="O10:O73" si="12">O9+AVERAGE(N9:N10)*(A10-A9)</f>
        <v>-8.1355471698113205E-2</v>
      </c>
      <c r="P10" s="52"/>
      <c r="Q10" s="52"/>
      <c r="R10" s="52"/>
      <c r="S10" s="52"/>
      <c r="T10" s="52"/>
      <c r="U10" s="52"/>
      <c r="V10" s="52"/>
      <c r="W10" s="52"/>
      <c r="X10" s="47"/>
    </row>
    <row r="11" spans="1:24" x14ac:dyDescent="0.2">
      <c r="A11" s="32">
        <v>0.75</v>
      </c>
      <c r="B11" s="1">
        <f t="shared" si="6"/>
        <v>0.125</v>
      </c>
      <c r="C11" s="1">
        <f t="shared" si="7"/>
        <v>0.75</v>
      </c>
      <c r="D11" s="33">
        <f t="shared" si="0"/>
        <v>1.220703125E-4</v>
      </c>
      <c r="E11" s="33">
        <f t="shared" si="8"/>
        <v>1.953125E-3</v>
      </c>
      <c r="F11" s="33">
        <f t="shared" si="1"/>
        <v>1.3</v>
      </c>
      <c r="G11" s="1">
        <f t="shared" si="2"/>
        <v>0.97500000000000009</v>
      </c>
      <c r="H11" s="1">
        <f t="shared" si="3"/>
        <v>499.20000000000005</v>
      </c>
      <c r="I11" s="1">
        <f t="shared" si="4"/>
        <v>74.118589743589737</v>
      </c>
      <c r="J11" s="1">
        <v>1.5</v>
      </c>
      <c r="K11" s="34">
        <f t="shared" si="5"/>
        <v>7.5350943396226421E-4</v>
      </c>
      <c r="L11" s="34">
        <f t="shared" si="10"/>
        <v>2.8256603773584905E-4</v>
      </c>
      <c r="M11" s="34">
        <f t="shared" si="11"/>
        <v>7.4566037735849063E-5</v>
      </c>
      <c r="N11" s="34">
        <f t="shared" si="9"/>
        <v>-0.16247547169811319</v>
      </c>
      <c r="O11" s="35">
        <f t="shared" si="12"/>
        <v>-0.12199396226415093</v>
      </c>
      <c r="P11" s="52"/>
      <c r="Q11" s="52"/>
      <c r="R11" s="52"/>
      <c r="S11" s="52"/>
      <c r="T11" s="52"/>
      <c r="U11" s="52"/>
      <c r="V11" s="52"/>
      <c r="W11" s="52"/>
      <c r="X11" s="47"/>
    </row>
    <row r="12" spans="1:24" x14ac:dyDescent="0.2">
      <c r="A12" s="32">
        <v>1</v>
      </c>
      <c r="B12" s="1">
        <f t="shared" si="6"/>
        <v>0.125</v>
      </c>
      <c r="C12" s="1">
        <f t="shared" si="7"/>
        <v>0.75</v>
      </c>
      <c r="D12" s="33">
        <f t="shared" si="0"/>
        <v>1.220703125E-4</v>
      </c>
      <c r="E12" s="33">
        <f t="shared" si="8"/>
        <v>1.953125E-3</v>
      </c>
      <c r="F12" s="33">
        <f t="shared" si="1"/>
        <v>1.3</v>
      </c>
      <c r="G12" s="1">
        <f t="shared" si="2"/>
        <v>1.3</v>
      </c>
      <c r="H12" s="1">
        <f t="shared" si="3"/>
        <v>665.6</v>
      </c>
      <c r="I12" s="1">
        <f t="shared" si="4"/>
        <v>55.588942307692307</v>
      </c>
      <c r="J12" s="1">
        <v>1.5</v>
      </c>
      <c r="K12" s="34">
        <f t="shared" si="5"/>
        <v>1.0046792452830188E-3</v>
      </c>
      <c r="L12" s="34">
        <f t="shared" si="10"/>
        <v>5.023396226415094E-4</v>
      </c>
      <c r="M12" s="34">
        <f t="shared" si="11"/>
        <v>1.7267924528301888E-4</v>
      </c>
      <c r="N12" s="34">
        <f t="shared" si="9"/>
        <v>-0.16225569811320753</v>
      </c>
      <c r="O12" s="35">
        <f t="shared" si="12"/>
        <v>-0.16258535849056602</v>
      </c>
      <c r="P12" s="52"/>
      <c r="Q12" s="52"/>
      <c r="R12" s="52"/>
      <c r="S12" s="52"/>
      <c r="T12" s="52"/>
      <c r="U12" s="52"/>
      <c r="V12" s="52"/>
      <c r="W12" s="52"/>
      <c r="X12" s="47"/>
    </row>
    <row r="13" spans="1:24" x14ac:dyDescent="0.2">
      <c r="A13" s="32">
        <v>1.25</v>
      </c>
      <c r="B13" s="1">
        <f t="shared" si="6"/>
        <v>0.125</v>
      </c>
      <c r="C13" s="1">
        <f t="shared" si="7"/>
        <v>0.75</v>
      </c>
      <c r="D13" s="33">
        <f t="shared" si="0"/>
        <v>1.220703125E-4</v>
      </c>
      <c r="E13" s="33">
        <f t="shared" si="8"/>
        <v>1.953125E-3</v>
      </c>
      <c r="F13" s="33">
        <f t="shared" si="1"/>
        <v>1.3</v>
      </c>
      <c r="G13" s="1">
        <f t="shared" si="2"/>
        <v>1.625</v>
      </c>
      <c r="H13" s="1">
        <f t="shared" si="3"/>
        <v>832</v>
      </c>
      <c r="I13" s="1">
        <f t="shared" si="4"/>
        <v>44.471153846153847</v>
      </c>
      <c r="J13" s="1">
        <v>1.5</v>
      </c>
      <c r="K13" s="34">
        <f t="shared" si="5"/>
        <v>1.2558490566037736E-3</v>
      </c>
      <c r="L13" s="34">
        <f t="shared" si="10"/>
        <v>7.849056603773585E-4</v>
      </c>
      <c r="M13" s="34">
        <f t="shared" si="11"/>
        <v>3.3358490566037736E-4</v>
      </c>
      <c r="N13" s="34">
        <f t="shared" si="9"/>
        <v>-0.16197313207547168</v>
      </c>
      <c r="O13" s="35">
        <f t="shared" si="12"/>
        <v>-0.2031139622641509</v>
      </c>
      <c r="P13" s="52"/>
      <c r="Q13" s="52"/>
      <c r="R13" s="52"/>
      <c r="S13" s="52"/>
      <c r="T13" s="52"/>
      <c r="U13" s="52"/>
      <c r="V13" s="52"/>
      <c r="W13" s="52"/>
      <c r="X13" s="47"/>
    </row>
    <row r="14" spans="1:24" x14ac:dyDescent="0.2">
      <c r="A14" s="32">
        <v>1.5</v>
      </c>
      <c r="B14" s="1">
        <f t="shared" si="6"/>
        <v>0.125</v>
      </c>
      <c r="C14" s="1">
        <f t="shared" si="7"/>
        <v>0.75</v>
      </c>
      <c r="D14" s="33">
        <f t="shared" si="0"/>
        <v>1.220703125E-4</v>
      </c>
      <c r="E14" s="33">
        <f t="shared" si="8"/>
        <v>1.953125E-3</v>
      </c>
      <c r="F14" s="33">
        <f t="shared" si="1"/>
        <v>1.3</v>
      </c>
      <c r="G14" s="1">
        <f t="shared" si="2"/>
        <v>1.9500000000000002</v>
      </c>
      <c r="H14" s="1">
        <f t="shared" si="3"/>
        <v>998.40000000000009</v>
      </c>
      <c r="I14" s="1">
        <f t="shared" si="4"/>
        <v>37.059294871794869</v>
      </c>
      <c r="J14" s="1">
        <v>1.5</v>
      </c>
      <c r="K14" s="34">
        <f t="shared" si="5"/>
        <v>1.5070188679245284E-3</v>
      </c>
      <c r="L14" s="34">
        <f t="shared" si="10"/>
        <v>1.1302641509433962E-3</v>
      </c>
      <c r="M14" s="34">
        <f t="shared" si="11"/>
        <v>5.7298113207547173E-4</v>
      </c>
      <c r="N14" s="34">
        <f t="shared" si="9"/>
        <v>-0.16162777358490565</v>
      </c>
      <c r="O14" s="35">
        <f t="shared" si="12"/>
        <v>-0.24356407547169806</v>
      </c>
      <c r="P14" s="52"/>
      <c r="Q14" s="52"/>
      <c r="R14" s="52"/>
      <c r="S14" s="52"/>
      <c r="T14" s="52"/>
      <c r="U14" s="52"/>
      <c r="V14" s="52"/>
      <c r="W14" s="52"/>
      <c r="X14" s="47"/>
    </row>
    <row r="15" spans="1:24" x14ac:dyDescent="0.2">
      <c r="A15" s="32">
        <v>1.75</v>
      </c>
      <c r="B15" s="1">
        <f t="shared" si="6"/>
        <v>0.125</v>
      </c>
      <c r="C15" s="1">
        <f t="shared" si="7"/>
        <v>0.75</v>
      </c>
      <c r="D15" s="33">
        <f t="shared" si="0"/>
        <v>1.220703125E-4</v>
      </c>
      <c r="E15" s="33">
        <f t="shared" si="8"/>
        <v>1.953125E-3</v>
      </c>
      <c r="F15" s="33">
        <f t="shared" si="1"/>
        <v>1.3</v>
      </c>
      <c r="G15" s="1">
        <f t="shared" si="2"/>
        <v>2.2749999999999999</v>
      </c>
      <c r="H15" s="1">
        <f t="shared" si="3"/>
        <v>1164.8</v>
      </c>
      <c r="I15" s="1">
        <f t="shared" si="4"/>
        <v>31.765109890109891</v>
      </c>
      <c r="J15" s="1">
        <v>1.5</v>
      </c>
      <c r="K15" s="34">
        <f t="shared" si="5"/>
        <v>1.758188679245283E-3</v>
      </c>
      <c r="L15" s="34">
        <f t="shared" si="10"/>
        <v>1.5384150943396225E-3</v>
      </c>
      <c r="M15" s="34">
        <f t="shared" si="11"/>
        <v>9.0656603773584909E-4</v>
      </c>
      <c r="N15" s="34">
        <f t="shared" si="9"/>
        <v>-0.16121962264150941</v>
      </c>
      <c r="O15" s="35">
        <f t="shared" si="12"/>
        <v>-0.28391999999999995</v>
      </c>
      <c r="P15" s="52"/>
      <c r="Q15" s="52"/>
      <c r="R15" s="52"/>
      <c r="S15" s="52"/>
      <c r="T15" s="52"/>
      <c r="U15" s="52"/>
      <c r="V15" s="52"/>
      <c r="W15" s="52"/>
      <c r="X15" s="47"/>
    </row>
    <row r="16" spans="1:24" x14ac:dyDescent="0.2">
      <c r="A16" s="32">
        <v>2</v>
      </c>
      <c r="B16" s="1">
        <f t="shared" si="6"/>
        <v>0.125</v>
      </c>
      <c r="C16" s="1">
        <f t="shared" si="7"/>
        <v>0.75</v>
      </c>
      <c r="D16" s="33">
        <f t="shared" si="0"/>
        <v>1.220703125E-4</v>
      </c>
      <c r="E16" s="33">
        <f t="shared" si="8"/>
        <v>1.953125E-3</v>
      </c>
      <c r="F16" s="33">
        <f t="shared" si="1"/>
        <v>1.3</v>
      </c>
      <c r="G16" s="1">
        <f t="shared" si="2"/>
        <v>2.6</v>
      </c>
      <c r="H16" s="1">
        <f t="shared" si="3"/>
        <v>1331.2</v>
      </c>
      <c r="I16" s="1">
        <f t="shared" si="4"/>
        <v>27.794471153846153</v>
      </c>
      <c r="J16" s="1">
        <v>1.5</v>
      </c>
      <c r="K16" s="34">
        <f t="shared" si="5"/>
        <v>2.0093584905660376E-3</v>
      </c>
      <c r="L16" s="34">
        <f t="shared" si="10"/>
        <v>2.0093584905660376E-3</v>
      </c>
      <c r="M16" s="34">
        <f t="shared" si="11"/>
        <v>1.3500377358490567E-3</v>
      </c>
      <c r="N16" s="34">
        <f t="shared" si="9"/>
        <v>-0.16074867924528299</v>
      </c>
      <c r="O16" s="35">
        <f t="shared" si="12"/>
        <v>-0.32416603773584901</v>
      </c>
      <c r="P16" s="52"/>
      <c r="Q16" s="52"/>
      <c r="R16" s="52"/>
      <c r="S16" s="52"/>
      <c r="T16" s="52"/>
      <c r="U16" s="52"/>
      <c r="V16" s="52"/>
      <c r="W16" s="52"/>
      <c r="X16" s="47"/>
    </row>
    <row r="17" spans="1:24" x14ac:dyDescent="0.2">
      <c r="A17" s="32">
        <v>2.25</v>
      </c>
      <c r="B17" s="1">
        <f t="shared" si="6"/>
        <v>0.125</v>
      </c>
      <c r="C17" s="1">
        <f t="shared" si="7"/>
        <v>0.75</v>
      </c>
      <c r="D17" s="33">
        <f t="shared" si="0"/>
        <v>1.220703125E-4</v>
      </c>
      <c r="E17" s="33">
        <f t="shared" si="8"/>
        <v>1.953125E-3</v>
      </c>
      <c r="F17" s="33">
        <f t="shared" si="1"/>
        <v>1.3</v>
      </c>
      <c r="G17" s="1">
        <f t="shared" si="2"/>
        <v>2.9250000000000003</v>
      </c>
      <c r="H17" s="1">
        <f t="shared" si="3"/>
        <v>1497.6000000000001</v>
      </c>
      <c r="I17" s="1">
        <f t="shared" si="4"/>
        <v>24.706196581196579</v>
      </c>
      <c r="J17" s="1">
        <v>1.5</v>
      </c>
      <c r="K17" s="34">
        <f t="shared" si="5"/>
        <v>2.2605283018867928E-3</v>
      </c>
      <c r="L17" s="34">
        <f t="shared" si="10"/>
        <v>2.5430943396226413E-3</v>
      </c>
      <c r="M17" s="34">
        <f t="shared" si="11"/>
        <v>1.9190943396226415E-3</v>
      </c>
      <c r="N17" s="34">
        <f t="shared" si="9"/>
        <v>-0.16021494339622641</v>
      </c>
      <c r="O17" s="35">
        <f t="shared" si="12"/>
        <v>-0.36428649056603768</v>
      </c>
      <c r="P17" s="52"/>
      <c r="Q17" s="52"/>
      <c r="R17" s="52"/>
      <c r="S17" s="52"/>
      <c r="T17" s="52"/>
      <c r="U17" s="52"/>
      <c r="V17" s="52"/>
      <c r="W17" s="52"/>
      <c r="X17" s="47"/>
    </row>
    <row r="18" spans="1:24" x14ac:dyDescent="0.2">
      <c r="A18" s="32">
        <v>2.5</v>
      </c>
      <c r="B18" s="1">
        <f t="shared" si="6"/>
        <v>0.125</v>
      </c>
      <c r="C18" s="1">
        <f t="shared" si="7"/>
        <v>0.75</v>
      </c>
      <c r="D18" s="33">
        <f t="shared" si="0"/>
        <v>1.220703125E-4</v>
      </c>
      <c r="E18" s="33">
        <f t="shared" si="8"/>
        <v>1.953125E-3</v>
      </c>
      <c r="F18" s="33">
        <f t="shared" si="1"/>
        <v>1.3</v>
      </c>
      <c r="G18" s="1">
        <f t="shared" si="2"/>
        <v>3.25</v>
      </c>
      <c r="H18" s="1">
        <f t="shared" si="3"/>
        <v>1664</v>
      </c>
      <c r="I18" s="1">
        <f t="shared" si="4"/>
        <v>22.235576923076923</v>
      </c>
      <c r="J18" s="1">
        <v>1.5</v>
      </c>
      <c r="K18" s="34">
        <f t="shared" si="5"/>
        <v>2.5116981132075472E-3</v>
      </c>
      <c r="L18" s="34">
        <f t="shared" si="10"/>
        <v>3.139622641509434E-3</v>
      </c>
      <c r="M18" s="34">
        <f t="shared" si="11"/>
        <v>2.6294339622641508E-3</v>
      </c>
      <c r="N18" s="34">
        <f t="shared" si="9"/>
        <v>-0.15961841509433961</v>
      </c>
      <c r="O18" s="35">
        <f t="shared" si="12"/>
        <v>-0.40426566037735845</v>
      </c>
      <c r="P18" s="52"/>
      <c r="Q18" s="52"/>
      <c r="R18" s="52"/>
      <c r="S18" s="52"/>
      <c r="T18" s="52"/>
      <c r="U18" s="52"/>
      <c r="V18" s="52"/>
      <c r="W18" s="52"/>
      <c r="X18" s="47"/>
    </row>
    <row r="19" spans="1:24" x14ac:dyDescent="0.2">
      <c r="A19" s="32">
        <v>2.75</v>
      </c>
      <c r="B19" s="1">
        <f t="shared" si="6"/>
        <v>0.125</v>
      </c>
      <c r="C19" s="1">
        <f t="shared" si="7"/>
        <v>0.75</v>
      </c>
      <c r="D19" s="33">
        <f t="shared" si="0"/>
        <v>1.220703125E-4</v>
      </c>
      <c r="E19" s="33">
        <f t="shared" si="8"/>
        <v>1.953125E-3</v>
      </c>
      <c r="F19" s="33">
        <f t="shared" si="1"/>
        <v>1.3</v>
      </c>
      <c r="G19" s="1">
        <f t="shared" si="2"/>
        <v>3.5750000000000002</v>
      </c>
      <c r="H19" s="1">
        <f t="shared" si="3"/>
        <v>1830.4</v>
      </c>
      <c r="I19" s="1">
        <f t="shared" si="4"/>
        <v>20.214160839160837</v>
      </c>
      <c r="J19" s="1">
        <v>1.5</v>
      </c>
      <c r="K19" s="34">
        <f t="shared" si="5"/>
        <v>2.762867924528302E-3</v>
      </c>
      <c r="L19" s="34">
        <f t="shared" si="10"/>
        <v>3.7989433962264153E-3</v>
      </c>
      <c r="M19" s="34">
        <f t="shared" si="11"/>
        <v>3.4967547169811319E-3</v>
      </c>
      <c r="N19" s="34">
        <f t="shared" si="9"/>
        <v>-0.15895909433962263</v>
      </c>
      <c r="O19" s="35">
        <f t="shared" si="12"/>
        <v>-0.4440878490566037</v>
      </c>
      <c r="P19" s="52"/>
      <c r="Q19" s="52"/>
      <c r="R19" s="52"/>
      <c r="S19" s="52"/>
      <c r="T19" s="52"/>
      <c r="U19" s="52"/>
      <c r="V19" s="52"/>
      <c r="W19" s="52"/>
      <c r="X19" s="47"/>
    </row>
    <row r="20" spans="1:24" x14ac:dyDescent="0.2">
      <c r="A20" s="32">
        <v>3</v>
      </c>
      <c r="B20" s="1">
        <f t="shared" si="6"/>
        <v>0.125</v>
      </c>
      <c r="C20" s="1">
        <f t="shared" si="7"/>
        <v>0.75</v>
      </c>
      <c r="D20" s="33">
        <f t="shared" si="0"/>
        <v>1.220703125E-4</v>
      </c>
      <c r="E20" s="33">
        <f t="shared" si="8"/>
        <v>1.953125E-3</v>
      </c>
      <c r="F20" s="33">
        <f t="shared" si="1"/>
        <v>1.3</v>
      </c>
      <c r="G20" s="1">
        <f t="shared" si="2"/>
        <v>3.9000000000000004</v>
      </c>
      <c r="H20" s="1">
        <f t="shared" si="3"/>
        <v>1996.8000000000002</v>
      </c>
      <c r="I20" s="1">
        <f t="shared" si="4"/>
        <v>18.529647435897434</v>
      </c>
      <c r="J20" s="1">
        <v>1.5</v>
      </c>
      <c r="K20" s="34">
        <f t="shared" si="5"/>
        <v>3.0140377358490568E-3</v>
      </c>
      <c r="L20" s="34">
        <f t="shared" si="10"/>
        <v>4.5210566037735857E-3</v>
      </c>
      <c r="M20" s="34">
        <f t="shared" si="11"/>
        <v>4.5367547169811321E-3</v>
      </c>
      <c r="N20" s="34">
        <f t="shared" si="9"/>
        <v>-0.15823698113207546</v>
      </c>
      <c r="O20" s="35">
        <f t="shared" si="12"/>
        <v>-0.48373735849056598</v>
      </c>
      <c r="P20" s="52"/>
      <c r="Q20" s="52"/>
      <c r="R20" s="52"/>
      <c r="S20" s="52"/>
      <c r="T20" s="52"/>
      <c r="U20" s="52"/>
      <c r="V20" s="52"/>
      <c r="W20" s="52"/>
      <c r="X20" s="47"/>
    </row>
    <row r="21" spans="1:24" x14ac:dyDescent="0.2">
      <c r="A21" s="32">
        <v>3.25</v>
      </c>
      <c r="B21" s="1">
        <f t="shared" si="6"/>
        <v>0.125</v>
      </c>
      <c r="C21" s="1">
        <f t="shared" si="7"/>
        <v>0.75</v>
      </c>
      <c r="D21" s="33">
        <f t="shared" si="0"/>
        <v>1.220703125E-4</v>
      </c>
      <c r="E21" s="33">
        <f t="shared" si="8"/>
        <v>1.953125E-3</v>
      </c>
      <c r="F21" s="33">
        <f t="shared" si="1"/>
        <v>1.3</v>
      </c>
      <c r="G21" s="1">
        <f t="shared" si="2"/>
        <v>4.2250000000000005</v>
      </c>
      <c r="H21" s="1">
        <f t="shared" si="3"/>
        <v>2163.2000000000003</v>
      </c>
      <c r="I21" s="1">
        <f t="shared" si="4"/>
        <v>17.104289940828401</v>
      </c>
      <c r="J21" s="1">
        <v>1.5</v>
      </c>
      <c r="K21" s="34">
        <f t="shared" si="5"/>
        <v>3.2652075471698116E-3</v>
      </c>
      <c r="L21" s="34">
        <f t="shared" si="10"/>
        <v>5.3059622641509442E-3</v>
      </c>
      <c r="M21" s="34">
        <f t="shared" si="11"/>
        <v>5.7651320754716984E-3</v>
      </c>
      <c r="N21" s="34">
        <f t="shared" si="9"/>
        <v>-0.15745207547169809</v>
      </c>
      <c r="O21" s="35">
        <f t="shared" si="12"/>
        <v>-0.52319849056603762</v>
      </c>
      <c r="P21" s="52"/>
      <c r="Q21" s="52"/>
      <c r="R21" s="52"/>
      <c r="S21" s="52"/>
      <c r="T21" s="52"/>
      <c r="U21" s="52"/>
      <c r="V21" s="52"/>
      <c r="W21" s="52"/>
      <c r="X21" s="47"/>
    </row>
    <row r="22" spans="1:24" x14ac:dyDescent="0.2">
      <c r="A22" s="32">
        <v>3.5</v>
      </c>
      <c r="B22" s="1">
        <f t="shared" si="6"/>
        <v>0.125</v>
      </c>
      <c r="C22" s="1">
        <f t="shared" si="7"/>
        <v>0.75</v>
      </c>
      <c r="D22" s="33">
        <f t="shared" si="0"/>
        <v>1.220703125E-4</v>
      </c>
      <c r="E22" s="33">
        <f t="shared" si="8"/>
        <v>1.953125E-3</v>
      </c>
      <c r="F22" s="33">
        <f t="shared" si="1"/>
        <v>1.3</v>
      </c>
      <c r="G22" s="1">
        <f t="shared" si="2"/>
        <v>4.55</v>
      </c>
      <c r="H22" s="1">
        <f t="shared" si="3"/>
        <v>2329.6</v>
      </c>
      <c r="I22" s="1">
        <f t="shared" si="4"/>
        <v>15.882554945054945</v>
      </c>
      <c r="J22" s="1">
        <v>1.5</v>
      </c>
      <c r="K22" s="34">
        <f t="shared" si="5"/>
        <v>3.516377358490566E-3</v>
      </c>
      <c r="L22" s="34">
        <f t="shared" si="10"/>
        <v>6.1536603773584917E-3</v>
      </c>
      <c r="M22" s="34">
        <f t="shared" si="11"/>
        <v>7.1975849056603782E-3</v>
      </c>
      <c r="N22" s="34">
        <f t="shared" si="9"/>
        <v>-0.15660437735849056</v>
      </c>
      <c r="O22" s="35">
        <f t="shared" si="12"/>
        <v>-0.56245554716981117</v>
      </c>
      <c r="P22" s="52"/>
      <c r="Q22" s="52"/>
      <c r="R22" s="52"/>
      <c r="S22" s="52"/>
      <c r="T22" s="52"/>
      <c r="U22" s="52"/>
      <c r="V22" s="52"/>
      <c r="W22" s="52"/>
      <c r="X22" s="47"/>
    </row>
    <row r="23" spans="1:24" x14ac:dyDescent="0.2">
      <c r="A23" s="32">
        <v>3.75</v>
      </c>
      <c r="B23" s="1">
        <f t="shared" si="6"/>
        <v>0.125</v>
      </c>
      <c r="C23" s="1">
        <f t="shared" si="7"/>
        <v>0.75</v>
      </c>
      <c r="D23" s="33">
        <f t="shared" si="0"/>
        <v>1.220703125E-4</v>
      </c>
      <c r="E23" s="33">
        <f t="shared" si="8"/>
        <v>1.953125E-3</v>
      </c>
      <c r="F23" s="33">
        <f t="shared" si="1"/>
        <v>1.3</v>
      </c>
      <c r="G23" s="1">
        <f t="shared" si="2"/>
        <v>4.875</v>
      </c>
      <c r="H23" s="1">
        <f t="shared" si="3"/>
        <v>2496</v>
      </c>
      <c r="I23" s="1">
        <f t="shared" si="4"/>
        <v>14.823717948717949</v>
      </c>
      <c r="J23" s="1">
        <v>1.5</v>
      </c>
      <c r="K23" s="34">
        <f t="shared" si="5"/>
        <v>3.7675471698113208E-3</v>
      </c>
      <c r="L23" s="34">
        <f t="shared" si="10"/>
        <v>7.0641509433962274E-3</v>
      </c>
      <c r="M23" s="34">
        <f t="shared" si="11"/>
        <v>8.8498113207547188E-3</v>
      </c>
      <c r="N23" s="34">
        <f t="shared" si="9"/>
        <v>-0.15569388679245283</v>
      </c>
      <c r="O23" s="35">
        <f t="shared" si="12"/>
        <v>-0.60149283018867905</v>
      </c>
      <c r="P23" s="52"/>
      <c r="Q23" s="52"/>
      <c r="R23" s="52"/>
      <c r="S23" s="52"/>
      <c r="T23" s="52"/>
      <c r="U23" s="52"/>
      <c r="V23" s="52"/>
      <c r="W23" s="52"/>
      <c r="X23" s="47"/>
    </row>
    <row r="24" spans="1:24" x14ac:dyDescent="0.2">
      <c r="A24" s="32">
        <v>4</v>
      </c>
      <c r="B24" s="1">
        <f t="shared" si="6"/>
        <v>0.125</v>
      </c>
      <c r="C24" s="1">
        <f t="shared" si="7"/>
        <v>0.75</v>
      </c>
      <c r="D24" s="33">
        <f t="shared" si="0"/>
        <v>1.220703125E-4</v>
      </c>
      <c r="E24" s="33">
        <f t="shared" si="8"/>
        <v>1.953125E-3</v>
      </c>
      <c r="F24" s="33">
        <f t="shared" si="1"/>
        <v>1.3</v>
      </c>
      <c r="G24" s="1">
        <f t="shared" si="2"/>
        <v>5.2</v>
      </c>
      <c r="H24" s="1">
        <f t="shared" si="3"/>
        <v>2662.4</v>
      </c>
      <c r="I24" s="1">
        <f t="shared" si="4"/>
        <v>13.897235576923077</v>
      </c>
      <c r="J24" s="1">
        <v>1.5</v>
      </c>
      <c r="K24" s="34">
        <f t="shared" si="5"/>
        <v>4.0187169811320752E-3</v>
      </c>
      <c r="L24" s="34">
        <f t="shared" si="10"/>
        <v>8.0374339622641521E-3</v>
      </c>
      <c r="M24" s="34">
        <f t="shared" si="11"/>
        <v>1.0737509433962266E-2</v>
      </c>
      <c r="N24" s="34">
        <f t="shared" si="9"/>
        <v>-0.1547206037735849</v>
      </c>
      <c r="O24" s="35">
        <f t="shared" si="12"/>
        <v>-0.64029464150943372</v>
      </c>
      <c r="P24" s="52"/>
      <c r="Q24" s="52"/>
      <c r="R24" s="52"/>
      <c r="S24" s="52"/>
      <c r="T24" s="52"/>
      <c r="U24" s="52"/>
      <c r="V24" s="52"/>
      <c r="W24" s="52"/>
      <c r="X24" s="47"/>
    </row>
    <row r="25" spans="1:24" x14ac:dyDescent="0.2">
      <c r="A25" s="32">
        <v>4.25</v>
      </c>
      <c r="B25" s="1">
        <f t="shared" si="6"/>
        <v>0.125</v>
      </c>
      <c r="C25" s="1">
        <f t="shared" si="7"/>
        <v>0.75</v>
      </c>
      <c r="D25" s="33">
        <f t="shared" si="0"/>
        <v>1.220703125E-4</v>
      </c>
      <c r="E25" s="33">
        <f t="shared" si="8"/>
        <v>1.953125E-3</v>
      </c>
      <c r="F25" s="33">
        <f t="shared" si="1"/>
        <v>1.3</v>
      </c>
      <c r="G25" s="1">
        <f t="shared" si="2"/>
        <v>5.5250000000000004</v>
      </c>
      <c r="H25" s="1">
        <f t="shared" si="3"/>
        <v>2828.8</v>
      </c>
      <c r="I25" s="1">
        <f t="shared" si="4"/>
        <v>13.079751131221718</v>
      </c>
      <c r="J25" s="1">
        <v>1.5</v>
      </c>
      <c r="K25" s="34">
        <f t="shared" si="5"/>
        <v>4.2698867924528304E-3</v>
      </c>
      <c r="L25" s="34">
        <f t="shared" si="10"/>
        <v>9.0735094339622659E-3</v>
      </c>
      <c r="M25" s="34">
        <f t="shared" si="11"/>
        <v>1.2876377358490568E-2</v>
      </c>
      <c r="N25" s="34">
        <f t="shared" si="9"/>
        <v>-0.15368452830188678</v>
      </c>
      <c r="O25" s="35">
        <f t="shared" si="12"/>
        <v>-0.67884528301886771</v>
      </c>
      <c r="P25" s="52"/>
      <c r="Q25" s="52"/>
      <c r="R25" s="52"/>
      <c r="S25" s="52"/>
      <c r="T25" s="52"/>
      <c r="U25" s="52"/>
      <c r="V25" s="52"/>
      <c r="W25" s="52"/>
      <c r="X25" s="47"/>
    </row>
    <row r="26" spans="1:24" x14ac:dyDescent="0.2">
      <c r="A26" s="32">
        <v>4.5</v>
      </c>
      <c r="B26" s="1">
        <f t="shared" si="6"/>
        <v>0.125</v>
      </c>
      <c r="C26" s="1">
        <f t="shared" si="7"/>
        <v>0.75</v>
      </c>
      <c r="D26" s="33">
        <f t="shared" si="0"/>
        <v>1.220703125E-4</v>
      </c>
      <c r="E26" s="33">
        <f t="shared" si="8"/>
        <v>1.953125E-3</v>
      </c>
      <c r="F26" s="33">
        <f t="shared" si="1"/>
        <v>1.3</v>
      </c>
      <c r="G26" s="1">
        <f t="shared" si="2"/>
        <v>5.8500000000000005</v>
      </c>
      <c r="H26" s="1">
        <f t="shared" si="3"/>
        <v>2995.2000000000003</v>
      </c>
      <c r="I26" s="1">
        <f t="shared" si="4"/>
        <v>12.35309829059829</v>
      </c>
      <c r="J26" s="1">
        <v>1.5</v>
      </c>
      <c r="K26" s="34">
        <f t="shared" si="5"/>
        <v>4.5210566037735857E-3</v>
      </c>
      <c r="L26" s="34">
        <f t="shared" si="10"/>
        <v>1.0172377358490567E-2</v>
      </c>
      <c r="M26" s="34">
        <f t="shared" si="11"/>
        <v>1.5282113207547172E-2</v>
      </c>
      <c r="N26" s="34">
        <f t="shared" si="9"/>
        <v>-0.15258566037735849</v>
      </c>
      <c r="O26" s="35">
        <f t="shared" si="12"/>
        <v>-0.71712905660377335</v>
      </c>
      <c r="P26" s="52"/>
      <c r="Q26" s="52"/>
      <c r="R26" s="52"/>
      <c r="S26" s="52"/>
      <c r="T26" s="52"/>
      <c r="U26" s="52"/>
      <c r="V26" s="52"/>
      <c r="W26" s="52"/>
      <c r="X26" s="47"/>
    </row>
    <row r="27" spans="1:24" x14ac:dyDescent="0.2">
      <c r="A27" s="32">
        <v>4.75</v>
      </c>
      <c r="B27" s="1">
        <f t="shared" si="6"/>
        <v>0.125</v>
      </c>
      <c r="C27" s="1">
        <f t="shared" si="7"/>
        <v>0.75</v>
      </c>
      <c r="D27" s="33">
        <f t="shared" si="0"/>
        <v>1.220703125E-4</v>
      </c>
      <c r="E27" s="33">
        <f t="shared" si="8"/>
        <v>1.953125E-3</v>
      </c>
      <c r="F27" s="33">
        <f t="shared" si="1"/>
        <v>1.3</v>
      </c>
      <c r="G27" s="1">
        <f t="shared" si="2"/>
        <v>6.1749999999999998</v>
      </c>
      <c r="H27" s="1">
        <f t="shared" si="3"/>
        <v>3161.6</v>
      </c>
      <c r="I27" s="1">
        <f t="shared" si="4"/>
        <v>11.702935222672066</v>
      </c>
      <c r="J27" s="1">
        <v>1.5</v>
      </c>
      <c r="K27" s="34">
        <f t="shared" si="5"/>
        <v>4.7722264150943392E-3</v>
      </c>
      <c r="L27" s="34">
        <f t="shared" si="10"/>
        <v>1.1334037735849057E-2</v>
      </c>
      <c r="M27" s="34">
        <f t="shared" si="11"/>
        <v>1.7970415094339626E-2</v>
      </c>
      <c r="N27" s="34">
        <f t="shared" si="9"/>
        <v>-0.15142399999999998</v>
      </c>
      <c r="O27" s="35">
        <f t="shared" si="12"/>
        <v>-0.7551302641509432</v>
      </c>
      <c r="P27" s="52"/>
      <c r="Q27" s="52"/>
      <c r="R27" s="52"/>
      <c r="S27" s="52"/>
      <c r="T27" s="52"/>
      <c r="U27" s="52"/>
      <c r="V27" s="52"/>
      <c r="W27" s="52"/>
      <c r="X27" s="47"/>
    </row>
    <row r="28" spans="1:24" x14ac:dyDescent="0.2">
      <c r="A28" s="32">
        <v>5</v>
      </c>
      <c r="B28" s="1">
        <f t="shared" si="6"/>
        <v>0.125</v>
      </c>
      <c r="C28" s="1">
        <f t="shared" si="7"/>
        <v>0.75</v>
      </c>
      <c r="D28" s="33">
        <f t="shared" si="0"/>
        <v>1.220703125E-4</v>
      </c>
      <c r="E28" s="33">
        <f t="shared" si="8"/>
        <v>1.953125E-3</v>
      </c>
      <c r="F28" s="33">
        <f t="shared" si="1"/>
        <v>1.3</v>
      </c>
      <c r="G28" s="1">
        <f t="shared" si="2"/>
        <v>6.5</v>
      </c>
      <c r="H28" s="1">
        <f t="shared" si="3"/>
        <v>3328</v>
      </c>
      <c r="I28" s="1">
        <f t="shared" si="4"/>
        <v>11.117788461538462</v>
      </c>
      <c r="J28" s="1">
        <v>1.5</v>
      </c>
      <c r="K28" s="34">
        <f t="shared" si="5"/>
        <v>5.0233962264150944E-3</v>
      </c>
      <c r="L28" s="34">
        <f t="shared" si="10"/>
        <v>1.2558490566037736E-2</v>
      </c>
      <c r="M28" s="34">
        <f t="shared" si="11"/>
        <v>2.0956981132075475E-2</v>
      </c>
      <c r="N28" s="34">
        <f t="shared" si="9"/>
        <v>-0.15019954716981132</v>
      </c>
      <c r="O28" s="35">
        <f t="shared" si="12"/>
        <v>-0.79283320754716957</v>
      </c>
      <c r="P28" s="52"/>
      <c r="Q28" s="52"/>
      <c r="R28" s="52"/>
      <c r="S28" s="52"/>
      <c r="T28" s="52"/>
      <c r="U28" s="52"/>
      <c r="V28" s="52"/>
      <c r="W28" s="52"/>
      <c r="X28" s="47"/>
    </row>
    <row r="29" spans="1:24" x14ac:dyDescent="0.2">
      <c r="A29" s="32">
        <v>5.25</v>
      </c>
      <c r="B29" s="1">
        <f t="shared" si="6"/>
        <v>0.125</v>
      </c>
      <c r="C29" s="1">
        <f t="shared" si="7"/>
        <v>0.75</v>
      </c>
      <c r="D29" s="33">
        <f t="shared" si="0"/>
        <v>1.220703125E-4</v>
      </c>
      <c r="E29" s="33">
        <f t="shared" si="8"/>
        <v>1.953125E-3</v>
      </c>
      <c r="F29" s="33">
        <f t="shared" si="1"/>
        <v>1.3</v>
      </c>
      <c r="G29" s="1">
        <f t="shared" si="2"/>
        <v>6.8250000000000002</v>
      </c>
      <c r="H29" s="1">
        <f t="shared" si="3"/>
        <v>3494.4</v>
      </c>
      <c r="I29" s="1">
        <f t="shared" si="4"/>
        <v>10.588369963369964</v>
      </c>
      <c r="J29" s="1">
        <v>1.5</v>
      </c>
      <c r="K29" s="34">
        <f t="shared" si="5"/>
        <v>5.2745660377358488E-3</v>
      </c>
      <c r="L29" s="34">
        <f t="shared" si="10"/>
        <v>1.3845735849056604E-2</v>
      </c>
      <c r="M29" s="34">
        <f t="shared" si="11"/>
        <v>2.4257509433962269E-2</v>
      </c>
      <c r="N29" s="34">
        <f t="shared" si="9"/>
        <v>-0.14891230188679244</v>
      </c>
      <c r="O29" s="35">
        <f t="shared" si="12"/>
        <v>-0.83022218867924502</v>
      </c>
      <c r="P29" s="52"/>
      <c r="Q29" s="52"/>
      <c r="R29" s="52"/>
      <c r="S29" s="52"/>
      <c r="T29" s="52"/>
      <c r="U29" s="52"/>
      <c r="V29" s="52"/>
      <c r="W29" s="52"/>
      <c r="X29" s="47"/>
    </row>
    <row r="30" spans="1:24" x14ac:dyDescent="0.2">
      <c r="A30" s="32">
        <v>5.5</v>
      </c>
      <c r="B30" s="1">
        <f t="shared" si="6"/>
        <v>0.125</v>
      </c>
      <c r="C30" s="1">
        <f t="shared" si="7"/>
        <v>0.75</v>
      </c>
      <c r="D30" s="33">
        <f t="shared" si="0"/>
        <v>1.220703125E-4</v>
      </c>
      <c r="E30" s="33">
        <f t="shared" si="8"/>
        <v>1.953125E-3</v>
      </c>
      <c r="F30" s="33">
        <f t="shared" si="1"/>
        <v>1.3</v>
      </c>
      <c r="G30" s="1">
        <f t="shared" si="2"/>
        <v>7.15</v>
      </c>
      <c r="H30" s="1">
        <f t="shared" si="3"/>
        <v>3660.8</v>
      </c>
      <c r="I30" s="1">
        <f t="shared" si="4"/>
        <v>10.107080419580418</v>
      </c>
      <c r="J30" s="1">
        <v>1.5</v>
      </c>
      <c r="K30" s="34">
        <f t="shared" si="5"/>
        <v>5.525735849056604E-3</v>
      </c>
      <c r="L30" s="34">
        <f t="shared" si="10"/>
        <v>1.5195773584905661E-2</v>
      </c>
      <c r="M30" s="34">
        <f t="shared" si="11"/>
        <v>2.7887698113207553E-2</v>
      </c>
      <c r="N30" s="34">
        <f t="shared" si="9"/>
        <v>-0.14756226415094337</v>
      </c>
      <c r="O30" s="35">
        <f t="shared" si="12"/>
        <v>-0.86728150943396198</v>
      </c>
      <c r="P30" s="52"/>
      <c r="Q30" s="52"/>
      <c r="R30" s="52"/>
      <c r="S30" s="52"/>
      <c r="T30" s="52"/>
      <c r="U30" s="52"/>
      <c r="V30" s="52"/>
      <c r="W30" s="52"/>
      <c r="X30" s="47"/>
    </row>
    <row r="31" spans="1:24" x14ac:dyDescent="0.2">
      <c r="A31" s="32">
        <v>5.75</v>
      </c>
      <c r="B31" s="1">
        <f t="shared" si="6"/>
        <v>0.125</v>
      </c>
      <c r="C31" s="1">
        <f t="shared" si="7"/>
        <v>0.75</v>
      </c>
      <c r="D31" s="33">
        <f t="shared" si="0"/>
        <v>1.220703125E-4</v>
      </c>
      <c r="E31" s="33">
        <f t="shared" si="8"/>
        <v>1.953125E-3</v>
      </c>
      <c r="F31" s="33">
        <f t="shared" si="1"/>
        <v>1.3</v>
      </c>
      <c r="G31" s="1">
        <f t="shared" si="2"/>
        <v>7.4750000000000005</v>
      </c>
      <c r="H31" s="1">
        <f t="shared" si="3"/>
        <v>3827.2000000000003</v>
      </c>
      <c r="I31" s="1">
        <f t="shared" si="4"/>
        <v>9.6676421404682262</v>
      </c>
      <c r="J31" s="1">
        <v>1.5</v>
      </c>
      <c r="K31" s="34">
        <f t="shared" si="5"/>
        <v>5.7769056603773593E-3</v>
      </c>
      <c r="L31" s="34">
        <f t="shared" si="10"/>
        <v>1.6608603773584907E-2</v>
      </c>
      <c r="M31" s="34">
        <f t="shared" si="11"/>
        <v>3.1863245283018871E-2</v>
      </c>
      <c r="N31" s="34">
        <f t="shared" si="9"/>
        <v>-0.14614943396226412</v>
      </c>
      <c r="O31" s="35">
        <f t="shared" si="12"/>
        <v>-0.9039954716981129</v>
      </c>
      <c r="P31" s="52"/>
      <c r="Q31" s="52"/>
      <c r="R31" s="52"/>
      <c r="S31" s="52"/>
      <c r="T31" s="52"/>
      <c r="U31" s="52"/>
      <c r="V31" s="52"/>
      <c r="W31" s="52"/>
      <c r="X31" s="47"/>
    </row>
    <row r="32" spans="1:24" x14ac:dyDescent="0.2">
      <c r="A32" s="32">
        <v>6</v>
      </c>
      <c r="B32" s="1">
        <f t="shared" si="6"/>
        <v>0.125</v>
      </c>
      <c r="C32" s="1">
        <f t="shared" si="7"/>
        <v>0.75</v>
      </c>
      <c r="D32" s="33">
        <f t="shared" si="0"/>
        <v>1.220703125E-4</v>
      </c>
      <c r="E32" s="33">
        <f t="shared" si="8"/>
        <v>1.953125E-3</v>
      </c>
      <c r="F32" s="33">
        <f t="shared" si="1"/>
        <v>1.3</v>
      </c>
      <c r="G32" s="1">
        <f t="shared" si="2"/>
        <v>7.8000000000000007</v>
      </c>
      <c r="H32" s="1">
        <f t="shared" si="3"/>
        <v>3993.6000000000004</v>
      </c>
      <c r="I32" s="1">
        <f t="shared" si="4"/>
        <v>9.2648237179487172</v>
      </c>
      <c r="J32" s="1">
        <v>1.5</v>
      </c>
      <c r="K32" s="34">
        <f t="shared" si="5"/>
        <v>6.0280754716981137E-3</v>
      </c>
      <c r="L32" s="34">
        <f t="shared" si="10"/>
        <v>1.8084226415094343E-2</v>
      </c>
      <c r="M32" s="34">
        <f t="shared" si="11"/>
        <v>3.6199849056603776E-2</v>
      </c>
      <c r="N32" s="34">
        <f t="shared" si="9"/>
        <v>-0.14467381132075469</v>
      </c>
      <c r="O32" s="35">
        <f t="shared" si="12"/>
        <v>-0.9403483773584902</v>
      </c>
      <c r="P32" s="52"/>
      <c r="Q32" s="52"/>
      <c r="R32" s="52"/>
      <c r="S32" s="52"/>
      <c r="T32" s="52"/>
      <c r="U32" s="52"/>
      <c r="V32" s="52"/>
      <c r="W32" s="52"/>
      <c r="X32" s="47"/>
    </row>
    <row r="33" spans="1:24" x14ac:dyDescent="0.2">
      <c r="A33" s="32">
        <v>6.25</v>
      </c>
      <c r="B33" s="1">
        <f t="shared" si="6"/>
        <v>0.125</v>
      </c>
      <c r="C33" s="1">
        <f t="shared" si="7"/>
        <v>0.75</v>
      </c>
      <c r="D33" s="33">
        <f t="shared" si="0"/>
        <v>1.220703125E-4</v>
      </c>
      <c r="E33" s="33">
        <f t="shared" si="8"/>
        <v>1.953125E-3</v>
      </c>
      <c r="F33" s="33">
        <f t="shared" si="1"/>
        <v>1.3</v>
      </c>
      <c r="G33" s="1">
        <f t="shared" si="2"/>
        <v>8.125</v>
      </c>
      <c r="H33" s="1">
        <f t="shared" si="3"/>
        <v>4160</v>
      </c>
      <c r="I33" s="1">
        <f t="shared" si="4"/>
        <v>8.8942307692307701</v>
      </c>
      <c r="J33" s="1">
        <v>1.5</v>
      </c>
      <c r="K33" s="34">
        <f t="shared" si="5"/>
        <v>6.279245283018868E-3</v>
      </c>
      <c r="L33" s="34">
        <f t="shared" si="10"/>
        <v>1.9622641509433967E-2</v>
      </c>
      <c r="M33" s="34">
        <f t="shared" si="11"/>
        <v>4.0913207547169816E-2</v>
      </c>
      <c r="N33" s="34">
        <f t="shared" si="9"/>
        <v>-0.14313539622641508</v>
      </c>
      <c r="O33" s="35">
        <f t="shared" si="12"/>
        <v>-0.97632452830188643</v>
      </c>
      <c r="P33" s="52"/>
      <c r="Q33" s="52"/>
      <c r="R33" s="52"/>
      <c r="S33" s="52"/>
      <c r="T33" s="52"/>
      <c r="U33" s="52"/>
      <c r="V33" s="52"/>
      <c r="W33" s="52"/>
      <c r="X33" s="47"/>
    </row>
    <row r="34" spans="1:24" x14ac:dyDescent="0.2">
      <c r="A34" s="32">
        <v>6.5</v>
      </c>
      <c r="B34" s="1">
        <f t="shared" si="6"/>
        <v>0.125</v>
      </c>
      <c r="C34" s="1">
        <f t="shared" si="7"/>
        <v>0.75</v>
      </c>
      <c r="D34" s="33">
        <f t="shared" si="0"/>
        <v>1.220703125E-4</v>
      </c>
      <c r="E34" s="33">
        <f t="shared" si="8"/>
        <v>1.953125E-3</v>
      </c>
      <c r="F34" s="33">
        <f t="shared" si="1"/>
        <v>1.3</v>
      </c>
      <c r="G34" s="1">
        <f t="shared" si="2"/>
        <v>8.4500000000000011</v>
      </c>
      <c r="H34" s="1">
        <f t="shared" si="3"/>
        <v>4326.4000000000005</v>
      </c>
      <c r="I34" s="1">
        <f t="shared" si="4"/>
        <v>8.5521449704142007</v>
      </c>
      <c r="J34" s="1">
        <v>1.5</v>
      </c>
      <c r="K34" s="34">
        <f t="shared" si="5"/>
        <v>6.5304150943396233E-3</v>
      </c>
      <c r="L34" s="34">
        <f t="shared" si="10"/>
        <v>2.122384905660378E-2</v>
      </c>
      <c r="M34" s="34">
        <f t="shared" si="11"/>
        <v>4.6019018867924533E-2</v>
      </c>
      <c r="N34" s="34">
        <f t="shared" si="9"/>
        <v>-0.14153418867924528</v>
      </c>
      <c r="O34" s="35">
        <f t="shared" si="12"/>
        <v>-1.011908226415094</v>
      </c>
      <c r="P34" s="52"/>
      <c r="Q34" s="52"/>
      <c r="R34" s="52"/>
      <c r="S34" s="52"/>
      <c r="T34" s="52"/>
      <c r="U34" s="52"/>
      <c r="V34" s="52"/>
      <c r="W34" s="52"/>
      <c r="X34" s="47"/>
    </row>
    <row r="35" spans="1:24" x14ac:dyDescent="0.2">
      <c r="A35" s="32">
        <v>6.75</v>
      </c>
      <c r="B35" s="1">
        <f t="shared" si="6"/>
        <v>0.125</v>
      </c>
      <c r="C35" s="1">
        <f t="shared" si="7"/>
        <v>0.75</v>
      </c>
      <c r="D35" s="33">
        <f t="shared" si="0"/>
        <v>1.220703125E-4</v>
      </c>
      <c r="E35" s="33">
        <f t="shared" si="8"/>
        <v>1.953125E-3</v>
      </c>
      <c r="F35" s="33">
        <f t="shared" si="1"/>
        <v>1.3</v>
      </c>
      <c r="G35" s="1">
        <f t="shared" si="2"/>
        <v>8.7750000000000004</v>
      </c>
      <c r="H35" s="1">
        <f t="shared" si="3"/>
        <v>4492.8</v>
      </c>
      <c r="I35" s="1">
        <f t="shared" si="4"/>
        <v>8.2353988603988597</v>
      </c>
      <c r="J35" s="1">
        <v>1.5</v>
      </c>
      <c r="K35" s="34">
        <f t="shared" si="5"/>
        <v>6.7815849056603776E-3</v>
      </c>
      <c r="L35" s="34">
        <f t="shared" si="10"/>
        <v>2.2887849056603779E-2</v>
      </c>
      <c r="M35" s="34">
        <f t="shared" si="11"/>
        <v>5.1532981132075481E-2</v>
      </c>
      <c r="N35" s="34">
        <f t="shared" si="9"/>
        <v>-0.13987018867924528</v>
      </c>
      <c r="O35" s="35">
        <f t="shared" si="12"/>
        <v>-1.0470837735849055</v>
      </c>
      <c r="P35" s="52"/>
      <c r="Q35" s="52"/>
      <c r="R35" s="52"/>
      <c r="S35" s="52"/>
      <c r="T35" s="52"/>
      <c r="U35" s="52"/>
      <c r="V35" s="52"/>
      <c r="W35" s="52"/>
      <c r="X35" s="47"/>
    </row>
    <row r="36" spans="1:24" x14ac:dyDescent="0.2">
      <c r="A36" s="32">
        <v>7</v>
      </c>
      <c r="B36" s="1">
        <f t="shared" si="6"/>
        <v>0.125</v>
      </c>
      <c r="C36" s="1">
        <f t="shared" si="7"/>
        <v>0.75</v>
      </c>
      <c r="D36" s="33">
        <f t="shared" si="0"/>
        <v>1.220703125E-4</v>
      </c>
      <c r="E36" s="33">
        <f t="shared" si="8"/>
        <v>1.953125E-3</v>
      </c>
      <c r="F36" s="33">
        <f t="shared" si="1"/>
        <v>1.3</v>
      </c>
      <c r="G36" s="1">
        <f t="shared" si="2"/>
        <v>9.1</v>
      </c>
      <c r="H36" s="1">
        <f t="shared" si="3"/>
        <v>4659.2</v>
      </c>
      <c r="I36" s="1">
        <f t="shared" si="4"/>
        <v>7.9412774725274726</v>
      </c>
      <c r="J36" s="1">
        <v>1.5</v>
      </c>
      <c r="K36" s="34">
        <f t="shared" si="5"/>
        <v>7.032754716981132E-3</v>
      </c>
      <c r="L36" s="34">
        <f t="shared" si="10"/>
        <v>2.4614641509433967E-2</v>
      </c>
      <c r="M36" s="34">
        <f t="shared" si="11"/>
        <v>5.7470792452830197E-2</v>
      </c>
      <c r="N36" s="34">
        <f t="shared" si="9"/>
        <v>-0.13814339622641508</v>
      </c>
      <c r="O36" s="35">
        <f t="shared" si="12"/>
        <v>-1.0818354716981129</v>
      </c>
      <c r="P36" s="52"/>
      <c r="Q36" s="52"/>
      <c r="R36" s="52"/>
      <c r="S36" s="52"/>
      <c r="T36" s="52"/>
      <c r="U36" s="52"/>
      <c r="V36" s="52"/>
      <c r="W36" s="52"/>
      <c r="X36" s="47"/>
    </row>
    <row r="37" spans="1:24" x14ac:dyDescent="0.2">
      <c r="A37" s="32">
        <v>7.25</v>
      </c>
      <c r="B37" s="1">
        <f t="shared" si="6"/>
        <v>0.125</v>
      </c>
      <c r="C37" s="1">
        <f t="shared" si="7"/>
        <v>0.75</v>
      </c>
      <c r="D37" s="33">
        <f t="shared" si="0"/>
        <v>1.220703125E-4</v>
      </c>
      <c r="E37" s="33">
        <f t="shared" si="8"/>
        <v>1.953125E-3</v>
      </c>
      <c r="F37" s="33">
        <f t="shared" si="1"/>
        <v>1.3</v>
      </c>
      <c r="G37" s="1">
        <f t="shared" si="2"/>
        <v>9.4250000000000007</v>
      </c>
      <c r="H37" s="1">
        <f t="shared" si="3"/>
        <v>4825.6000000000004</v>
      </c>
      <c r="I37" s="1">
        <f t="shared" si="4"/>
        <v>7.6674403183023863</v>
      </c>
      <c r="J37" s="1">
        <v>1.5</v>
      </c>
      <c r="K37" s="34">
        <f t="shared" si="5"/>
        <v>7.2839245283018873E-3</v>
      </c>
      <c r="L37" s="34">
        <f t="shared" si="10"/>
        <v>2.6404226415094344E-2</v>
      </c>
      <c r="M37" s="34">
        <f t="shared" si="11"/>
        <v>6.3848150943396242E-2</v>
      </c>
      <c r="N37" s="34">
        <f t="shared" si="9"/>
        <v>-0.13635381132075469</v>
      </c>
      <c r="O37" s="35">
        <f t="shared" si="12"/>
        <v>-1.116147622641509</v>
      </c>
      <c r="P37" s="52"/>
      <c r="Q37" s="52"/>
      <c r="R37" s="52"/>
      <c r="S37" s="52"/>
      <c r="T37" s="52"/>
      <c r="U37" s="52"/>
      <c r="V37" s="52"/>
      <c r="W37" s="52"/>
      <c r="X37" s="47"/>
    </row>
    <row r="38" spans="1:24" x14ac:dyDescent="0.2">
      <c r="A38" s="32">
        <v>7.5</v>
      </c>
      <c r="B38" s="1">
        <f t="shared" si="6"/>
        <v>0.125</v>
      </c>
      <c r="C38" s="1">
        <f t="shared" si="7"/>
        <v>0.75</v>
      </c>
      <c r="D38" s="33">
        <f t="shared" si="0"/>
        <v>1.220703125E-4</v>
      </c>
      <c r="E38" s="33">
        <f t="shared" si="8"/>
        <v>1.953125E-3</v>
      </c>
      <c r="F38" s="33">
        <f t="shared" si="1"/>
        <v>1.3</v>
      </c>
      <c r="G38" s="1">
        <f t="shared" si="2"/>
        <v>9.75</v>
      </c>
      <c r="H38" s="1">
        <f t="shared" si="3"/>
        <v>4992</v>
      </c>
      <c r="I38" s="1">
        <f t="shared" si="4"/>
        <v>7.4118589743589745</v>
      </c>
      <c r="J38" s="1">
        <v>1.5</v>
      </c>
      <c r="K38" s="34">
        <f t="shared" si="5"/>
        <v>7.5350943396226416E-3</v>
      </c>
      <c r="L38" s="34">
        <f t="shared" si="10"/>
        <v>2.825660377358491E-2</v>
      </c>
      <c r="M38" s="34">
        <f t="shared" si="11"/>
        <v>7.0680754716981153E-2</v>
      </c>
      <c r="N38" s="34">
        <f t="shared" si="9"/>
        <v>-0.13450143396226413</v>
      </c>
      <c r="O38" s="35">
        <f t="shared" si="12"/>
        <v>-1.1500045283018863</v>
      </c>
      <c r="P38" s="52"/>
      <c r="Q38" s="52"/>
      <c r="R38" s="52"/>
      <c r="S38" s="52"/>
      <c r="T38" s="52"/>
      <c r="U38" s="52"/>
      <c r="V38" s="52"/>
      <c r="W38" s="52"/>
      <c r="X38" s="47"/>
    </row>
    <row r="39" spans="1:24" x14ac:dyDescent="0.2">
      <c r="A39" s="32">
        <v>7.75</v>
      </c>
      <c r="B39" s="1">
        <f t="shared" si="6"/>
        <v>0.125</v>
      </c>
      <c r="C39" s="1">
        <f t="shared" si="7"/>
        <v>0.75</v>
      </c>
      <c r="D39" s="33">
        <f t="shared" si="0"/>
        <v>1.220703125E-4</v>
      </c>
      <c r="E39" s="33">
        <f t="shared" si="8"/>
        <v>1.953125E-3</v>
      </c>
      <c r="F39" s="33">
        <f t="shared" si="1"/>
        <v>1.3</v>
      </c>
      <c r="G39" s="1">
        <f t="shared" si="2"/>
        <v>10.075000000000001</v>
      </c>
      <c r="H39" s="1">
        <f t="shared" si="3"/>
        <v>5158.4000000000005</v>
      </c>
      <c r="I39" s="1">
        <f t="shared" si="4"/>
        <v>7.1727667493796519</v>
      </c>
      <c r="J39" s="1">
        <v>1.5</v>
      </c>
      <c r="K39" s="34">
        <f t="shared" si="5"/>
        <v>7.7862641509433969E-3</v>
      </c>
      <c r="L39" s="34">
        <f t="shared" si="10"/>
        <v>3.0171773584905665E-2</v>
      </c>
      <c r="M39" s="34">
        <f t="shared" si="11"/>
        <v>7.7984301886792479E-2</v>
      </c>
      <c r="N39" s="34">
        <f t="shared" si="9"/>
        <v>-0.13258626415094338</v>
      </c>
      <c r="O39" s="35">
        <f t="shared" si="12"/>
        <v>-1.1833904905660373</v>
      </c>
      <c r="P39" s="52"/>
      <c r="Q39" s="52"/>
      <c r="R39" s="52"/>
      <c r="S39" s="52"/>
      <c r="T39" s="52"/>
      <c r="U39" s="52"/>
      <c r="V39" s="52"/>
      <c r="W39" s="52"/>
      <c r="X39" s="47"/>
    </row>
    <row r="40" spans="1:24" x14ac:dyDescent="0.2">
      <c r="A40" s="32">
        <v>8</v>
      </c>
      <c r="B40" s="1">
        <f t="shared" si="6"/>
        <v>0.125</v>
      </c>
      <c r="C40" s="1">
        <f t="shared" si="7"/>
        <v>0.75</v>
      </c>
      <c r="D40" s="33">
        <f t="shared" ref="D40:D71" si="13">1/12*C40*B40^3</f>
        <v>1.220703125E-4</v>
      </c>
      <c r="E40" s="33">
        <f t="shared" si="8"/>
        <v>1.953125E-3</v>
      </c>
      <c r="F40" s="33">
        <f t="shared" ref="F40:F71" si="14">0.5*$F$2-$F$2*GESTEP(A40,18)+0.5*$F$2*GESTEP(A40,36)</f>
        <v>1.3</v>
      </c>
      <c r="G40" s="1">
        <f t="shared" ref="G40:G71" si="15">0.5*$F$2*A40-$F$2*MAX(0,A40-18)</f>
        <v>10.4</v>
      </c>
      <c r="H40" s="1">
        <f t="shared" ref="H40:H71" si="16">ABS(G40*(B40/2)/D40)</f>
        <v>5324.8</v>
      </c>
      <c r="I40" s="1">
        <f t="shared" ref="I40:I71" si="17">$B$2/H40</f>
        <v>6.9486177884615383</v>
      </c>
      <c r="J40" s="1">
        <v>1.5</v>
      </c>
      <c r="K40" s="34">
        <f t="shared" ref="K40:K71" si="18">G40/($B$3*D40)</f>
        <v>8.0374339622641504E-3</v>
      </c>
      <c r="L40" s="34">
        <f t="shared" si="10"/>
        <v>3.2149735849056608E-2</v>
      </c>
      <c r="M40" s="34">
        <f t="shared" si="11"/>
        <v>8.5774490566037767E-2</v>
      </c>
      <c r="N40" s="34">
        <f t="shared" si="9"/>
        <v>-0.13060830188679243</v>
      </c>
      <c r="O40" s="35">
        <f t="shared" si="12"/>
        <v>-1.2162898113207543</v>
      </c>
      <c r="P40" s="52"/>
      <c r="Q40" s="52"/>
      <c r="R40" s="52"/>
      <c r="S40" s="52"/>
      <c r="T40" s="52"/>
      <c r="U40" s="52"/>
      <c r="V40" s="52"/>
      <c r="W40" s="52"/>
      <c r="X40" s="47"/>
    </row>
    <row r="41" spans="1:24" x14ac:dyDescent="0.2">
      <c r="A41" s="32">
        <v>8.25</v>
      </c>
      <c r="B41" s="1">
        <f t="shared" si="6"/>
        <v>0.125</v>
      </c>
      <c r="C41" s="1">
        <f t="shared" si="7"/>
        <v>0.75</v>
      </c>
      <c r="D41" s="33">
        <f t="shared" si="13"/>
        <v>1.220703125E-4</v>
      </c>
      <c r="E41" s="33">
        <f t="shared" si="8"/>
        <v>1.953125E-3</v>
      </c>
      <c r="F41" s="33">
        <f t="shared" si="14"/>
        <v>1.3</v>
      </c>
      <c r="G41" s="1">
        <f t="shared" si="15"/>
        <v>10.725</v>
      </c>
      <c r="H41" s="1">
        <f t="shared" si="16"/>
        <v>5491.2</v>
      </c>
      <c r="I41" s="1">
        <f t="shared" si="17"/>
        <v>6.7380536130536131</v>
      </c>
      <c r="J41" s="1">
        <v>1.5</v>
      </c>
      <c r="K41" s="34">
        <f t="shared" si="18"/>
        <v>8.2886037735849048E-3</v>
      </c>
      <c r="L41" s="34">
        <f t="shared" si="10"/>
        <v>3.4190490566037741E-2</v>
      </c>
      <c r="M41" s="34">
        <f t="shared" si="11"/>
        <v>9.4067018867924568E-2</v>
      </c>
      <c r="N41" s="34">
        <f t="shared" si="9"/>
        <v>-0.12856754716981131</v>
      </c>
      <c r="O41" s="35">
        <f t="shared" si="12"/>
        <v>-1.2486867924528298</v>
      </c>
      <c r="P41" s="52"/>
      <c r="Q41" s="52"/>
      <c r="R41" s="52"/>
      <c r="S41" s="52"/>
      <c r="T41" s="52"/>
      <c r="U41" s="52"/>
      <c r="V41" s="52"/>
      <c r="W41" s="52"/>
      <c r="X41" s="47"/>
    </row>
    <row r="42" spans="1:24" ht="17" thickBot="1" x14ac:dyDescent="0.25">
      <c r="A42" s="32">
        <v>8.5</v>
      </c>
      <c r="B42" s="1">
        <f t="shared" si="6"/>
        <v>0.125</v>
      </c>
      <c r="C42" s="1">
        <f t="shared" si="7"/>
        <v>0.75</v>
      </c>
      <c r="D42" s="33">
        <f t="shared" si="13"/>
        <v>1.220703125E-4</v>
      </c>
      <c r="E42" s="33">
        <f t="shared" si="8"/>
        <v>1.953125E-3</v>
      </c>
      <c r="F42" s="33">
        <f t="shared" si="14"/>
        <v>1.3</v>
      </c>
      <c r="G42" s="1">
        <f t="shared" si="15"/>
        <v>11.05</v>
      </c>
      <c r="H42" s="1">
        <f t="shared" si="16"/>
        <v>5657.6</v>
      </c>
      <c r="I42" s="1">
        <f t="shared" si="17"/>
        <v>6.5398755656108589</v>
      </c>
      <c r="J42" s="1">
        <v>1.5</v>
      </c>
      <c r="K42" s="34">
        <f t="shared" si="18"/>
        <v>8.5397735849056609E-3</v>
      </c>
      <c r="L42" s="34">
        <f t="shared" si="10"/>
        <v>3.6294037735849063E-2</v>
      </c>
      <c r="M42" s="34">
        <f t="shared" si="11"/>
        <v>0.10287758490566042</v>
      </c>
      <c r="N42" s="34">
        <f t="shared" si="9"/>
        <v>-0.12646399999999997</v>
      </c>
      <c r="O42" s="35">
        <f t="shared" si="12"/>
        <v>-1.2805657358490561</v>
      </c>
      <c r="P42" s="53"/>
      <c r="Q42" s="53"/>
      <c r="R42" s="53"/>
      <c r="S42" s="53"/>
      <c r="T42" s="53"/>
      <c r="U42" s="53"/>
      <c r="V42" s="53"/>
      <c r="W42" s="53"/>
      <c r="X42" s="54"/>
    </row>
    <row r="43" spans="1:24" x14ac:dyDescent="0.2">
      <c r="A43" s="32">
        <v>8.75</v>
      </c>
      <c r="B43" s="1">
        <f t="shared" si="6"/>
        <v>0.125</v>
      </c>
      <c r="C43" s="1">
        <f t="shared" si="7"/>
        <v>0.75</v>
      </c>
      <c r="D43" s="33">
        <f t="shared" si="13"/>
        <v>1.220703125E-4</v>
      </c>
      <c r="E43" s="33">
        <f t="shared" si="8"/>
        <v>1.953125E-3</v>
      </c>
      <c r="F43" s="33">
        <f t="shared" si="14"/>
        <v>1.3</v>
      </c>
      <c r="G43" s="1">
        <f t="shared" si="15"/>
        <v>11.375</v>
      </c>
      <c r="H43" s="1">
        <f t="shared" si="16"/>
        <v>5824</v>
      </c>
      <c r="I43" s="1">
        <f t="shared" si="17"/>
        <v>6.3530219780219781</v>
      </c>
      <c r="J43" s="1">
        <v>1.5</v>
      </c>
      <c r="K43" s="34">
        <f t="shared" si="18"/>
        <v>8.7909433962264152E-3</v>
      </c>
      <c r="L43" s="34">
        <f t="shared" si="10"/>
        <v>3.8460377358490574E-2</v>
      </c>
      <c r="M43" s="34">
        <f t="shared" si="11"/>
        <v>0.11222188679245287</v>
      </c>
      <c r="N43" s="34">
        <f t="shared" si="9"/>
        <v>-0.12429766037735847</v>
      </c>
      <c r="O43" s="35">
        <f t="shared" si="12"/>
        <v>-1.3119109433962259</v>
      </c>
    </row>
    <row r="44" spans="1:24" x14ac:dyDescent="0.2">
      <c r="A44" s="32">
        <v>9</v>
      </c>
      <c r="B44" s="1">
        <f t="shared" si="6"/>
        <v>0.125</v>
      </c>
      <c r="C44" s="1">
        <f t="shared" si="7"/>
        <v>0.75</v>
      </c>
      <c r="D44" s="33">
        <f t="shared" si="13"/>
        <v>1.220703125E-4</v>
      </c>
      <c r="E44" s="33">
        <f t="shared" si="8"/>
        <v>1.953125E-3</v>
      </c>
      <c r="F44" s="33">
        <f t="shared" si="14"/>
        <v>1.3</v>
      </c>
      <c r="G44" s="1">
        <f t="shared" si="15"/>
        <v>11.700000000000001</v>
      </c>
      <c r="H44" s="1">
        <f t="shared" si="16"/>
        <v>5990.4000000000005</v>
      </c>
      <c r="I44" s="1">
        <f t="shared" si="17"/>
        <v>6.1765491452991448</v>
      </c>
      <c r="J44" s="1">
        <v>1.5</v>
      </c>
      <c r="K44" s="34">
        <f t="shared" si="18"/>
        <v>9.0421132075471713E-3</v>
      </c>
      <c r="L44" s="34">
        <f t="shared" si="10"/>
        <v>4.0689509433962275E-2</v>
      </c>
      <c r="M44" s="34">
        <f t="shared" si="11"/>
        <v>0.12211562264150948</v>
      </c>
      <c r="N44" s="34">
        <f t="shared" si="9"/>
        <v>-0.12206852830188678</v>
      </c>
      <c r="O44" s="35">
        <f t="shared" si="12"/>
        <v>-1.3427067169811315</v>
      </c>
    </row>
    <row r="45" spans="1:24" x14ac:dyDescent="0.2">
      <c r="A45" s="32">
        <v>9.25</v>
      </c>
      <c r="B45" s="1">
        <f t="shared" si="6"/>
        <v>0.125</v>
      </c>
      <c r="C45" s="1">
        <f t="shared" si="7"/>
        <v>0.75</v>
      </c>
      <c r="D45" s="33">
        <f t="shared" si="13"/>
        <v>1.220703125E-4</v>
      </c>
      <c r="E45" s="33">
        <f t="shared" si="8"/>
        <v>1.953125E-3</v>
      </c>
      <c r="F45" s="33">
        <f t="shared" si="14"/>
        <v>1.3</v>
      </c>
      <c r="G45" s="1">
        <f t="shared" si="15"/>
        <v>12.025</v>
      </c>
      <c r="H45" s="1">
        <f t="shared" si="16"/>
        <v>6156.8</v>
      </c>
      <c r="I45" s="1">
        <f t="shared" si="17"/>
        <v>6.0096153846153841</v>
      </c>
      <c r="J45" s="1">
        <v>1.5</v>
      </c>
      <c r="K45" s="34">
        <f t="shared" si="18"/>
        <v>9.293283018867924E-3</v>
      </c>
      <c r="L45" s="34">
        <f t="shared" si="10"/>
        <v>4.2981433962264164E-2</v>
      </c>
      <c r="M45" s="34">
        <f t="shared" si="11"/>
        <v>0.13257449056603779</v>
      </c>
      <c r="N45" s="34">
        <f t="shared" si="9"/>
        <v>-0.11977660377358487</v>
      </c>
      <c r="O45" s="35">
        <f t="shared" si="12"/>
        <v>-1.3729373584905655</v>
      </c>
    </row>
    <row r="46" spans="1:24" x14ac:dyDescent="0.2">
      <c r="A46" s="32">
        <v>9.5</v>
      </c>
      <c r="B46" s="1">
        <f t="shared" si="6"/>
        <v>0.125</v>
      </c>
      <c r="C46" s="1">
        <f t="shared" si="7"/>
        <v>0.75</v>
      </c>
      <c r="D46" s="33">
        <f t="shared" si="13"/>
        <v>1.220703125E-4</v>
      </c>
      <c r="E46" s="33">
        <f t="shared" si="8"/>
        <v>1.953125E-3</v>
      </c>
      <c r="F46" s="33">
        <f t="shared" si="14"/>
        <v>1.3</v>
      </c>
      <c r="G46" s="1">
        <f t="shared" si="15"/>
        <v>12.35</v>
      </c>
      <c r="H46" s="1">
        <f t="shared" si="16"/>
        <v>6323.2</v>
      </c>
      <c r="I46" s="1">
        <f t="shared" si="17"/>
        <v>5.8514676113360329</v>
      </c>
      <c r="J46" s="1">
        <v>1.5</v>
      </c>
      <c r="K46" s="34">
        <f t="shared" si="18"/>
        <v>9.5444528301886784E-3</v>
      </c>
      <c r="L46" s="34">
        <f t="shared" si="10"/>
        <v>4.5336150943396242E-2</v>
      </c>
      <c r="M46" s="34">
        <f t="shared" si="11"/>
        <v>0.14361418867924533</v>
      </c>
      <c r="N46" s="34">
        <f t="shared" si="9"/>
        <v>-0.1174218867924528</v>
      </c>
      <c r="O46" s="35">
        <f t="shared" si="12"/>
        <v>-1.4025871698113201</v>
      </c>
    </row>
    <row r="47" spans="1:24" x14ac:dyDescent="0.2">
      <c r="A47" s="32">
        <v>9.75</v>
      </c>
      <c r="B47" s="1">
        <f t="shared" si="6"/>
        <v>0.125</v>
      </c>
      <c r="C47" s="1">
        <f t="shared" si="7"/>
        <v>0.75</v>
      </c>
      <c r="D47" s="33">
        <f t="shared" si="13"/>
        <v>1.220703125E-4</v>
      </c>
      <c r="E47" s="33">
        <f t="shared" si="8"/>
        <v>1.953125E-3</v>
      </c>
      <c r="F47" s="33">
        <f t="shared" si="14"/>
        <v>1.3</v>
      </c>
      <c r="G47" s="1">
        <f t="shared" si="15"/>
        <v>12.675000000000001</v>
      </c>
      <c r="H47" s="1">
        <f t="shared" si="16"/>
        <v>6489.6</v>
      </c>
      <c r="I47" s="1">
        <f t="shared" si="17"/>
        <v>5.7014299802761341</v>
      </c>
      <c r="J47" s="1">
        <v>1.5</v>
      </c>
      <c r="K47" s="34">
        <f t="shared" si="18"/>
        <v>9.7956226415094345E-3</v>
      </c>
      <c r="L47" s="34">
        <f t="shared" si="10"/>
        <v>4.7753660377358509E-2</v>
      </c>
      <c r="M47" s="34">
        <f t="shared" si="11"/>
        <v>0.15525041509433968</v>
      </c>
      <c r="N47" s="34">
        <f t="shared" si="9"/>
        <v>-0.11500437735849053</v>
      </c>
      <c r="O47" s="35">
        <f t="shared" si="12"/>
        <v>-1.431640452830188</v>
      </c>
    </row>
    <row r="48" spans="1:24" x14ac:dyDescent="0.2">
      <c r="A48" s="32">
        <v>10</v>
      </c>
      <c r="B48" s="1">
        <f t="shared" si="6"/>
        <v>0.125</v>
      </c>
      <c r="C48" s="1">
        <f t="shared" si="7"/>
        <v>0.75</v>
      </c>
      <c r="D48" s="33">
        <f t="shared" si="13"/>
        <v>1.220703125E-4</v>
      </c>
      <c r="E48" s="33">
        <f t="shared" si="8"/>
        <v>1.953125E-3</v>
      </c>
      <c r="F48" s="33">
        <f t="shared" si="14"/>
        <v>1.3</v>
      </c>
      <c r="G48" s="1">
        <f t="shared" si="15"/>
        <v>13</v>
      </c>
      <c r="H48" s="1">
        <f t="shared" si="16"/>
        <v>6656</v>
      </c>
      <c r="I48" s="1">
        <f t="shared" si="17"/>
        <v>5.5588942307692308</v>
      </c>
      <c r="J48" s="1">
        <v>1.5</v>
      </c>
      <c r="K48" s="34">
        <f t="shared" si="18"/>
        <v>1.0046792452830189E-2</v>
      </c>
      <c r="L48" s="34">
        <f t="shared" si="10"/>
        <v>5.0233962264150958E-2</v>
      </c>
      <c r="M48" s="34">
        <f t="shared" si="11"/>
        <v>0.16749886792452837</v>
      </c>
      <c r="N48" s="34">
        <f t="shared" si="9"/>
        <v>-0.11252407547169808</v>
      </c>
      <c r="O48" s="35">
        <f t="shared" si="12"/>
        <v>-1.4600815094339616</v>
      </c>
    </row>
    <row r="49" spans="1:15" x14ac:dyDescent="0.2">
      <c r="A49" s="32">
        <v>10.25</v>
      </c>
      <c r="B49" s="1">
        <f t="shared" si="6"/>
        <v>0.125</v>
      </c>
      <c r="C49" s="1">
        <f t="shared" si="7"/>
        <v>0.75</v>
      </c>
      <c r="D49" s="33">
        <f t="shared" si="13"/>
        <v>1.220703125E-4</v>
      </c>
      <c r="E49" s="33">
        <f t="shared" si="8"/>
        <v>1.953125E-3</v>
      </c>
      <c r="F49" s="33">
        <f t="shared" si="14"/>
        <v>1.3</v>
      </c>
      <c r="G49" s="1">
        <f t="shared" si="15"/>
        <v>13.325000000000001</v>
      </c>
      <c r="H49" s="1">
        <f t="shared" si="16"/>
        <v>6822.4000000000005</v>
      </c>
      <c r="I49" s="1">
        <f t="shared" si="17"/>
        <v>5.4233114446529074</v>
      </c>
      <c r="J49" s="1">
        <v>1.5</v>
      </c>
      <c r="K49" s="34">
        <f t="shared" si="18"/>
        <v>1.0297962264150945E-2</v>
      </c>
      <c r="L49" s="34">
        <f t="shared" si="10"/>
        <v>5.2777056603773603E-2</v>
      </c>
      <c r="M49" s="34">
        <f t="shared" si="11"/>
        <v>0.18037524528301893</v>
      </c>
      <c r="N49" s="34">
        <f t="shared" si="9"/>
        <v>-0.10998098113207544</v>
      </c>
      <c r="O49" s="35">
        <f t="shared" si="12"/>
        <v>-1.4878946415094334</v>
      </c>
    </row>
    <row r="50" spans="1:15" x14ac:dyDescent="0.2">
      <c r="A50" s="32">
        <v>10.5</v>
      </c>
      <c r="B50" s="1">
        <f t="shared" si="6"/>
        <v>0.125</v>
      </c>
      <c r="C50" s="1">
        <f t="shared" si="7"/>
        <v>0.75</v>
      </c>
      <c r="D50" s="33">
        <f t="shared" si="13"/>
        <v>1.220703125E-4</v>
      </c>
      <c r="E50" s="33">
        <f t="shared" si="8"/>
        <v>1.953125E-3</v>
      </c>
      <c r="F50" s="33">
        <f t="shared" si="14"/>
        <v>1.3</v>
      </c>
      <c r="G50" s="1">
        <f t="shared" si="15"/>
        <v>13.65</v>
      </c>
      <c r="H50" s="1">
        <f t="shared" si="16"/>
        <v>6988.8</v>
      </c>
      <c r="I50" s="1">
        <f t="shared" si="17"/>
        <v>5.2941849816849818</v>
      </c>
      <c r="J50" s="1">
        <v>1.5</v>
      </c>
      <c r="K50" s="34">
        <f t="shared" si="18"/>
        <v>1.0549132075471698E-2</v>
      </c>
      <c r="L50" s="34">
        <f t="shared" si="10"/>
        <v>5.5382943396226431E-2</v>
      </c>
      <c r="M50" s="34">
        <f t="shared" si="11"/>
        <v>0.19389524528301894</v>
      </c>
      <c r="N50" s="34">
        <f t="shared" si="9"/>
        <v>-0.10737509433962261</v>
      </c>
      <c r="O50" s="35">
        <f t="shared" si="12"/>
        <v>-1.5150641509433957</v>
      </c>
    </row>
    <row r="51" spans="1:15" x14ac:dyDescent="0.2">
      <c r="A51" s="32">
        <v>10.75</v>
      </c>
      <c r="B51" s="1">
        <f t="shared" si="6"/>
        <v>0.125</v>
      </c>
      <c r="C51" s="1">
        <f t="shared" si="7"/>
        <v>0.75</v>
      </c>
      <c r="D51" s="33">
        <f t="shared" si="13"/>
        <v>1.220703125E-4</v>
      </c>
      <c r="E51" s="33">
        <f t="shared" si="8"/>
        <v>1.953125E-3</v>
      </c>
      <c r="F51" s="33">
        <f t="shared" si="14"/>
        <v>1.3</v>
      </c>
      <c r="G51" s="1">
        <f t="shared" si="15"/>
        <v>13.975</v>
      </c>
      <c r="H51" s="1">
        <f t="shared" si="16"/>
        <v>7155.2</v>
      </c>
      <c r="I51" s="1">
        <f t="shared" si="17"/>
        <v>5.1710644007155633</v>
      </c>
      <c r="J51" s="1">
        <v>1.5</v>
      </c>
      <c r="K51" s="34">
        <f t="shared" si="18"/>
        <v>1.0800301886792452E-2</v>
      </c>
      <c r="L51" s="34">
        <f t="shared" si="10"/>
        <v>5.8051622641509447E-2</v>
      </c>
      <c r="M51" s="34">
        <f t="shared" si="11"/>
        <v>0.20807456603773591</v>
      </c>
      <c r="N51" s="34">
        <f t="shared" si="9"/>
        <v>-0.10470641509433959</v>
      </c>
      <c r="O51" s="35">
        <f t="shared" si="12"/>
        <v>-1.5415743396226411</v>
      </c>
    </row>
    <row r="52" spans="1:15" x14ac:dyDescent="0.2">
      <c r="A52" s="32">
        <v>11</v>
      </c>
      <c r="B52" s="1">
        <f t="shared" si="6"/>
        <v>0.125</v>
      </c>
      <c r="C52" s="1">
        <f t="shared" si="7"/>
        <v>0.75</v>
      </c>
      <c r="D52" s="33">
        <f t="shared" si="13"/>
        <v>1.220703125E-4</v>
      </c>
      <c r="E52" s="33">
        <f t="shared" si="8"/>
        <v>1.953125E-3</v>
      </c>
      <c r="F52" s="33">
        <f t="shared" si="14"/>
        <v>1.3</v>
      </c>
      <c r="G52" s="1">
        <f t="shared" si="15"/>
        <v>14.3</v>
      </c>
      <c r="H52" s="1">
        <f t="shared" si="16"/>
        <v>7321.6</v>
      </c>
      <c r="I52" s="1">
        <f t="shared" si="17"/>
        <v>5.0535402097902091</v>
      </c>
      <c r="J52" s="1">
        <v>1.5</v>
      </c>
      <c r="K52" s="34">
        <f t="shared" si="18"/>
        <v>1.1051471698113208E-2</v>
      </c>
      <c r="L52" s="34">
        <f t="shared" si="10"/>
        <v>6.0783094339622652E-2</v>
      </c>
      <c r="M52" s="34">
        <f t="shared" si="11"/>
        <v>0.22292890566037743</v>
      </c>
      <c r="N52" s="34">
        <f t="shared" si="9"/>
        <v>-0.1019749433962264</v>
      </c>
      <c r="O52" s="35">
        <f t="shared" si="12"/>
        <v>-1.567409509433962</v>
      </c>
    </row>
    <row r="53" spans="1:15" x14ac:dyDescent="0.2">
      <c r="A53" s="32">
        <v>11.25</v>
      </c>
      <c r="B53" s="1">
        <f t="shared" si="6"/>
        <v>0.125</v>
      </c>
      <c r="C53" s="1">
        <f t="shared" si="7"/>
        <v>0.75</v>
      </c>
      <c r="D53" s="33">
        <f t="shared" si="13"/>
        <v>1.220703125E-4</v>
      </c>
      <c r="E53" s="33">
        <f t="shared" si="8"/>
        <v>1.953125E-3</v>
      </c>
      <c r="F53" s="33">
        <f t="shared" si="14"/>
        <v>1.3</v>
      </c>
      <c r="G53" s="1">
        <f t="shared" si="15"/>
        <v>14.625</v>
      </c>
      <c r="H53" s="1">
        <f t="shared" si="16"/>
        <v>7488</v>
      </c>
      <c r="I53" s="1">
        <f t="shared" si="17"/>
        <v>4.941239316239316</v>
      </c>
      <c r="J53" s="1">
        <v>1.5</v>
      </c>
      <c r="K53" s="34">
        <f t="shared" si="18"/>
        <v>1.1302641509433962E-2</v>
      </c>
      <c r="L53" s="34">
        <f t="shared" si="10"/>
        <v>6.3577358490566047E-2</v>
      </c>
      <c r="M53" s="34">
        <f t="shared" si="11"/>
        <v>0.23847396226415102</v>
      </c>
      <c r="N53" s="34">
        <f t="shared" si="9"/>
        <v>-9.9180679245282996E-2</v>
      </c>
      <c r="O53" s="35">
        <f t="shared" si="12"/>
        <v>-1.5925539622641507</v>
      </c>
    </row>
    <row r="54" spans="1:15" x14ac:dyDescent="0.2">
      <c r="A54" s="32">
        <v>11.5</v>
      </c>
      <c r="B54" s="1">
        <f t="shared" si="6"/>
        <v>0.125</v>
      </c>
      <c r="C54" s="1">
        <f t="shared" si="7"/>
        <v>0.75</v>
      </c>
      <c r="D54" s="33">
        <f t="shared" si="13"/>
        <v>1.220703125E-4</v>
      </c>
      <c r="E54" s="33">
        <f t="shared" si="8"/>
        <v>1.953125E-3</v>
      </c>
      <c r="F54" s="33">
        <f t="shared" si="14"/>
        <v>1.3</v>
      </c>
      <c r="G54" s="1">
        <f t="shared" si="15"/>
        <v>14.950000000000001</v>
      </c>
      <c r="H54" s="1">
        <f t="shared" si="16"/>
        <v>7654.4000000000005</v>
      </c>
      <c r="I54" s="1">
        <f t="shared" si="17"/>
        <v>4.8338210702341131</v>
      </c>
      <c r="J54" s="1">
        <v>1.5</v>
      </c>
      <c r="K54" s="34">
        <f t="shared" si="18"/>
        <v>1.1553811320754719E-2</v>
      </c>
      <c r="L54" s="34">
        <f t="shared" si="10"/>
        <v>6.643441509433963E-2</v>
      </c>
      <c r="M54" s="34">
        <f t="shared" si="11"/>
        <v>0.25472543396226421</v>
      </c>
      <c r="N54" s="34">
        <f t="shared" si="9"/>
        <v>-9.6323622641509413E-2</v>
      </c>
      <c r="O54" s="35">
        <f t="shared" si="12"/>
        <v>-1.6169919999999998</v>
      </c>
    </row>
    <row r="55" spans="1:15" x14ac:dyDescent="0.2">
      <c r="A55" s="32">
        <v>11.75</v>
      </c>
      <c r="B55" s="1">
        <f t="shared" si="6"/>
        <v>0.125</v>
      </c>
      <c r="C55" s="1">
        <f t="shared" si="7"/>
        <v>0.75</v>
      </c>
      <c r="D55" s="33">
        <f t="shared" si="13"/>
        <v>1.220703125E-4</v>
      </c>
      <c r="E55" s="33">
        <f t="shared" si="8"/>
        <v>1.953125E-3</v>
      </c>
      <c r="F55" s="33">
        <f t="shared" si="14"/>
        <v>1.3</v>
      </c>
      <c r="G55" s="1">
        <f t="shared" si="15"/>
        <v>15.275</v>
      </c>
      <c r="H55" s="1">
        <f t="shared" si="16"/>
        <v>7820.8</v>
      </c>
      <c r="I55" s="1">
        <f t="shared" si="17"/>
        <v>4.7309738134206221</v>
      </c>
      <c r="J55" s="1">
        <v>1.5</v>
      </c>
      <c r="K55" s="34">
        <f t="shared" si="18"/>
        <v>1.1804981132075471E-2</v>
      </c>
      <c r="L55" s="34">
        <f t="shared" si="10"/>
        <v>6.9354264150943409E-2</v>
      </c>
      <c r="M55" s="34">
        <f t="shared" si="11"/>
        <v>0.27169901886792458</v>
      </c>
      <c r="N55" s="34">
        <f t="shared" si="9"/>
        <v>-9.3403773584905633E-2</v>
      </c>
      <c r="O55" s="35">
        <f t="shared" si="12"/>
        <v>-1.6407079245283016</v>
      </c>
    </row>
    <row r="56" spans="1:15" x14ac:dyDescent="0.2">
      <c r="A56" s="32">
        <v>12</v>
      </c>
      <c r="B56" s="1">
        <f t="shared" si="6"/>
        <v>0.125</v>
      </c>
      <c r="C56" s="1">
        <f t="shared" si="7"/>
        <v>0.75</v>
      </c>
      <c r="D56" s="33">
        <f t="shared" si="13"/>
        <v>1.220703125E-4</v>
      </c>
      <c r="E56" s="33">
        <f t="shared" si="8"/>
        <v>1.953125E-3</v>
      </c>
      <c r="F56" s="33">
        <f t="shared" si="14"/>
        <v>1.3</v>
      </c>
      <c r="G56" s="1">
        <f t="shared" si="15"/>
        <v>15.600000000000001</v>
      </c>
      <c r="H56" s="1">
        <f t="shared" si="16"/>
        <v>7987.2000000000007</v>
      </c>
      <c r="I56" s="1">
        <f t="shared" si="17"/>
        <v>4.6324118589743586</v>
      </c>
      <c r="J56" s="1">
        <v>1.5</v>
      </c>
      <c r="K56" s="34">
        <f t="shared" si="18"/>
        <v>1.2056150943396227E-2</v>
      </c>
      <c r="L56" s="34">
        <f t="shared" si="10"/>
        <v>7.2336905660377371E-2</v>
      </c>
      <c r="M56" s="34">
        <f t="shared" si="11"/>
        <v>0.28941041509433968</v>
      </c>
      <c r="N56" s="34">
        <f t="shared" si="9"/>
        <v>-9.0421132075471672E-2</v>
      </c>
      <c r="O56" s="35">
        <f t="shared" si="12"/>
        <v>-1.6636860377358487</v>
      </c>
    </row>
    <row r="57" spans="1:15" x14ac:dyDescent="0.2">
      <c r="A57" s="32">
        <v>12.25</v>
      </c>
      <c r="B57" s="1">
        <f t="shared" si="6"/>
        <v>0.125</v>
      </c>
      <c r="C57" s="1">
        <f t="shared" si="7"/>
        <v>0.75</v>
      </c>
      <c r="D57" s="33">
        <f t="shared" si="13"/>
        <v>1.220703125E-4</v>
      </c>
      <c r="E57" s="33">
        <f t="shared" si="8"/>
        <v>1.953125E-3</v>
      </c>
      <c r="F57" s="33">
        <f t="shared" si="14"/>
        <v>1.3</v>
      </c>
      <c r="G57" s="1">
        <f t="shared" si="15"/>
        <v>15.925000000000001</v>
      </c>
      <c r="H57" s="1">
        <f t="shared" si="16"/>
        <v>8153.6</v>
      </c>
      <c r="I57" s="1">
        <f t="shared" si="17"/>
        <v>4.5378728414442699</v>
      </c>
      <c r="J57" s="1">
        <v>1.5</v>
      </c>
      <c r="K57" s="34">
        <f t="shared" si="18"/>
        <v>1.2307320754716982E-2</v>
      </c>
      <c r="L57" s="34">
        <f t="shared" si="10"/>
        <v>7.5382339622641528E-2</v>
      </c>
      <c r="M57" s="34">
        <f t="shared" si="11"/>
        <v>0.30787532075471702</v>
      </c>
      <c r="N57" s="34">
        <f t="shared" si="9"/>
        <v>-8.7375698113207514E-2</v>
      </c>
      <c r="O57" s="35">
        <f t="shared" si="12"/>
        <v>-1.6859106415094336</v>
      </c>
    </row>
    <row r="58" spans="1:15" x14ac:dyDescent="0.2">
      <c r="A58" s="32">
        <v>12.5</v>
      </c>
      <c r="B58" s="1">
        <f t="shared" si="6"/>
        <v>0.125</v>
      </c>
      <c r="C58" s="1">
        <f t="shared" si="7"/>
        <v>0.75</v>
      </c>
      <c r="D58" s="33">
        <f t="shared" si="13"/>
        <v>1.220703125E-4</v>
      </c>
      <c r="E58" s="33">
        <f t="shared" si="8"/>
        <v>1.953125E-3</v>
      </c>
      <c r="F58" s="33">
        <f t="shared" si="14"/>
        <v>1.3</v>
      </c>
      <c r="G58" s="1">
        <f t="shared" si="15"/>
        <v>16.25</v>
      </c>
      <c r="H58" s="1">
        <f t="shared" si="16"/>
        <v>8320</v>
      </c>
      <c r="I58" s="1">
        <f t="shared" si="17"/>
        <v>4.447115384615385</v>
      </c>
      <c r="J58" s="1">
        <v>1.5</v>
      </c>
      <c r="K58" s="34">
        <f t="shared" si="18"/>
        <v>1.2558490566037736E-2</v>
      </c>
      <c r="L58" s="34">
        <f t="shared" si="10"/>
        <v>7.8490566037735868E-2</v>
      </c>
      <c r="M58" s="34">
        <f t="shared" si="11"/>
        <v>0.32710943396226422</v>
      </c>
      <c r="N58" s="34">
        <f t="shared" si="9"/>
        <v>-8.4267471698113175E-2</v>
      </c>
      <c r="O58" s="35">
        <f t="shared" si="12"/>
        <v>-1.7073660377358486</v>
      </c>
    </row>
    <row r="59" spans="1:15" x14ac:dyDescent="0.2">
      <c r="A59" s="32">
        <v>12.75</v>
      </c>
      <c r="B59" s="1">
        <f t="shared" si="6"/>
        <v>0.125</v>
      </c>
      <c r="C59" s="1">
        <f t="shared" si="7"/>
        <v>0.75</v>
      </c>
      <c r="D59" s="33">
        <f t="shared" si="13"/>
        <v>1.220703125E-4</v>
      </c>
      <c r="E59" s="33">
        <f t="shared" si="8"/>
        <v>1.953125E-3</v>
      </c>
      <c r="F59" s="33">
        <f t="shared" si="14"/>
        <v>1.3</v>
      </c>
      <c r="G59" s="1">
        <f t="shared" si="15"/>
        <v>16.574999999999999</v>
      </c>
      <c r="H59" s="1">
        <f t="shared" si="16"/>
        <v>8486.4</v>
      </c>
      <c r="I59" s="1">
        <f t="shared" si="17"/>
        <v>4.3599170437405732</v>
      </c>
      <c r="J59" s="1">
        <v>1.5</v>
      </c>
      <c r="K59" s="34">
        <f t="shared" si="18"/>
        <v>1.280966037735849E-2</v>
      </c>
      <c r="L59" s="34">
        <f t="shared" si="10"/>
        <v>8.1661584905660389E-2</v>
      </c>
      <c r="M59" s="34">
        <f t="shared" si="11"/>
        <v>0.34712845283018873</v>
      </c>
      <c r="N59" s="34">
        <f t="shared" si="9"/>
        <v>-8.1096452830188653E-2</v>
      </c>
      <c r="O59" s="35">
        <f t="shared" si="12"/>
        <v>-1.7280365283018864</v>
      </c>
    </row>
    <row r="60" spans="1:15" x14ac:dyDescent="0.2">
      <c r="A60" s="32">
        <v>13</v>
      </c>
      <c r="B60" s="1">
        <f t="shared" si="6"/>
        <v>0.125</v>
      </c>
      <c r="C60" s="1">
        <f t="shared" si="7"/>
        <v>0.75</v>
      </c>
      <c r="D60" s="33">
        <f t="shared" si="13"/>
        <v>1.220703125E-4</v>
      </c>
      <c r="E60" s="33">
        <f t="shared" si="8"/>
        <v>1.953125E-3</v>
      </c>
      <c r="F60" s="33">
        <f t="shared" si="14"/>
        <v>1.3</v>
      </c>
      <c r="G60" s="1">
        <f t="shared" si="15"/>
        <v>16.900000000000002</v>
      </c>
      <c r="H60" s="1">
        <f t="shared" si="16"/>
        <v>8652.8000000000011</v>
      </c>
      <c r="I60" s="1">
        <f t="shared" si="17"/>
        <v>4.2760724852071004</v>
      </c>
      <c r="J60" s="1">
        <v>1.5</v>
      </c>
      <c r="K60" s="34">
        <f t="shared" si="18"/>
        <v>1.3060830188679247E-2</v>
      </c>
      <c r="L60" s="34">
        <f t="shared" si="10"/>
        <v>8.4895396226415107E-2</v>
      </c>
      <c r="M60" s="34">
        <f t="shared" si="11"/>
        <v>0.36794807547169817</v>
      </c>
      <c r="N60" s="34">
        <f t="shared" si="9"/>
        <v>-7.7862641509433936E-2</v>
      </c>
      <c r="O60" s="35">
        <f t="shared" si="12"/>
        <v>-1.7479064150943391</v>
      </c>
    </row>
    <row r="61" spans="1:15" x14ac:dyDescent="0.2">
      <c r="A61" s="32">
        <v>13.25</v>
      </c>
      <c r="B61" s="1">
        <f t="shared" si="6"/>
        <v>0.125</v>
      </c>
      <c r="C61" s="1">
        <f t="shared" si="7"/>
        <v>0.75</v>
      </c>
      <c r="D61" s="33">
        <f t="shared" si="13"/>
        <v>1.220703125E-4</v>
      </c>
      <c r="E61" s="33">
        <f t="shared" si="8"/>
        <v>1.953125E-3</v>
      </c>
      <c r="F61" s="33">
        <f t="shared" si="14"/>
        <v>1.3</v>
      </c>
      <c r="G61" s="1">
        <f t="shared" si="15"/>
        <v>17.225000000000001</v>
      </c>
      <c r="H61" s="1">
        <f t="shared" si="16"/>
        <v>8819.2000000000007</v>
      </c>
      <c r="I61" s="1">
        <f t="shared" si="17"/>
        <v>4.1953918722786643</v>
      </c>
      <c r="J61" s="1">
        <v>1.5</v>
      </c>
      <c r="K61" s="34">
        <f t="shared" si="18"/>
        <v>1.3312000000000001E-2</v>
      </c>
      <c r="L61" s="34">
        <f t="shared" si="10"/>
        <v>8.8192000000000006E-2</v>
      </c>
      <c r="M61" s="34">
        <f t="shared" si="11"/>
        <v>0.38958400000000004</v>
      </c>
      <c r="N61" s="34">
        <f t="shared" si="9"/>
        <v>-7.4566037735849036E-2</v>
      </c>
      <c r="O61" s="35">
        <f t="shared" si="12"/>
        <v>-1.7669599999999994</v>
      </c>
    </row>
    <row r="62" spans="1:15" x14ac:dyDescent="0.2">
      <c r="A62" s="32">
        <v>13.5</v>
      </c>
      <c r="B62" s="1">
        <f t="shared" si="6"/>
        <v>0.125</v>
      </c>
      <c r="C62" s="1">
        <f t="shared" si="7"/>
        <v>0.75</v>
      </c>
      <c r="D62" s="33">
        <f t="shared" si="13"/>
        <v>1.220703125E-4</v>
      </c>
      <c r="E62" s="33">
        <f t="shared" si="8"/>
        <v>1.953125E-3</v>
      </c>
      <c r="F62" s="33">
        <f t="shared" si="14"/>
        <v>1.3</v>
      </c>
      <c r="G62" s="1">
        <f t="shared" si="15"/>
        <v>17.55</v>
      </c>
      <c r="H62" s="1">
        <f t="shared" si="16"/>
        <v>8985.6</v>
      </c>
      <c r="I62" s="1">
        <f t="shared" si="17"/>
        <v>4.1176994301994299</v>
      </c>
      <c r="J62" s="1">
        <v>1.5</v>
      </c>
      <c r="K62" s="34">
        <f t="shared" si="18"/>
        <v>1.3563169811320755E-2</v>
      </c>
      <c r="L62" s="34">
        <f t="shared" si="10"/>
        <v>9.1551396226415102E-2</v>
      </c>
      <c r="M62" s="34">
        <f t="shared" si="11"/>
        <v>0.41205192452830192</v>
      </c>
      <c r="N62" s="34">
        <f t="shared" si="9"/>
        <v>-7.1206641509433941E-2</v>
      </c>
      <c r="O62" s="35">
        <f t="shared" si="12"/>
        <v>-1.7851815849056598</v>
      </c>
    </row>
    <row r="63" spans="1:15" x14ac:dyDescent="0.2">
      <c r="A63" s="32">
        <v>13.75</v>
      </c>
      <c r="B63" s="1">
        <f t="shared" si="6"/>
        <v>0.125</v>
      </c>
      <c r="C63" s="1">
        <f t="shared" si="7"/>
        <v>0.75</v>
      </c>
      <c r="D63" s="33">
        <f t="shared" si="13"/>
        <v>1.220703125E-4</v>
      </c>
      <c r="E63" s="33">
        <f t="shared" si="8"/>
        <v>1.953125E-3</v>
      </c>
      <c r="F63" s="33">
        <f t="shared" si="14"/>
        <v>1.3</v>
      </c>
      <c r="G63" s="1">
        <f t="shared" si="15"/>
        <v>17.875</v>
      </c>
      <c r="H63" s="1">
        <f t="shared" si="16"/>
        <v>9152</v>
      </c>
      <c r="I63" s="1">
        <f t="shared" si="17"/>
        <v>4.0428321678321675</v>
      </c>
      <c r="J63" s="1">
        <v>1.5</v>
      </c>
      <c r="K63" s="34">
        <f t="shared" si="18"/>
        <v>1.381433962264151E-2</v>
      </c>
      <c r="L63" s="34">
        <f t="shared" si="10"/>
        <v>9.497358490566038E-2</v>
      </c>
      <c r="M63" s="34">
        <f t="shared" si="11"/>
        <v>0.43536754716981135</v>
      </c>
      <c r="N63" s="34">
        <f t="shared" si="9"/>
        <v>-6.7784452830188663E-2</v>
      </c>
      <c r="O63" s="35">
        <f t="shared" si="12"/>
        <v>-1.8025554716981127</v>
      </c>
    </row>
    <row r="64" spans="1:15" x14ac:dyDescent="0.2">
      <c r="A64" s="32">
        <v>14</v>
      </c>
      <c r="B64" s="1">
        <f t="shared" si="6"/>
        <v>0.125</v>
      </c>
      <c r="C64" s="1">
        <f t="shared" si="7"/>
        <v>0.75</v>
      </c>
      <c r="D64" s="33">
        <f t="shared" si="13"/>
        <v>1.220703125E-4</v>
      </c>
      <c r="E64" s="33">
        <f t="shared" si="8"/>
        <v>1.953125E-3</v>
      </c>
      <c r="F64" s="33">
        <f t="shared" si="14"/>
        <v>1.3</v>
      </c>
      <c r="G64" s="1">
        <f t="shared" si="15"/>
        <v>18.2</v>
      </c>
      <c r="H64" s="1">
        <f t="shared" si="16"/>
        <v>9318.4</v>
      </c>
      <c r="I64" s="1">
        <f t="shared" si="17"/>
        <v>3.9706387362637363</v>
      </c>
      <c r="J64" s="1">
        <v>1.5</v>
      </c>
      <c r="K64" s="34">
        <f t="shared" si="18"/>
        <v>1.4065509433962264E-2</v>
      </c>
      <c r="L64" s="34">
        <f t="shared" si="10"/>
        <v>9.8458566037735853E-2</v>
      </c>
      <c r="M64" s="34">
        <f t="shared" si="11"/>
        <v>0.45954656603773586</v>
      </c>
      <c r="N64" s="34">
        <f t="shared" si="9"/>
        <v>-6.4299471698113189E-2</v>
      </c>
      <c r="O64" s="35">
        <f t="shared" si="12"/>
        <v>-1.8190659622641505</v>
      </c>
    </row>
    <row r="65" spans="1:15" x14ac:dyDescent="0.2">
      <c r="A65" s="32">
        <v>14.25</v>
      </c>
      <c r="B65" s="1">
        <f t="shared" si="6"/>
        <v>0.125</v>
      </c>
      <c r="C65" s="1">
        <f t="shared" si="7"/>
        <v>0.75</v>
      </c>
      <c r="D65" s="33">
        <f t="shared" si="13"/>
        <v>1.220703125E-4</v>
      </c>
      <c r="E65" s="33">
        <f t="shared" si="8"/>
        <v>1.953125E-3</v>
      </c>
      <c r="F65" s="33">
        <f t="shared" si="14"/>
        <v>1.3</v>
      </c>
      <c r="G65" s="1">
        <f t="shared" si="15"/>
        <v>18.525000000000002</v>
      </c>
      <c r="H65" s="1">
        <f t="shared" si="16"/>
        <v>9484.8000000000011</v>
      </c>
      <c r="I65" s="1">
        <f t="shared" si="17"/>
        <v>3.9009784075573544</v>
      </c>
      <c r="J65" s="1">
        <v>1.5</v>
      </c>
      <c r="K65" s="34">
        <f t="shared" si="18"/>
        <v>1.431667924528302E-2</v>
      </c>
      <c r="L65" s="34">
        <f t="shared" si="10"/>
        <v>0.10200633962264151</v>
      </c>
      <c r="M65" s="34">
        <f t="shared" si="11"/>
        <v>0.48460467924528305</v>
      </c>
      <c r="N65" s="34">
        <f t="shared" si="9"/>
        <v>-6.0751698113207533E-2</v>
      </c>
      <c r="O65" s="35">
        <f t="shared" si="12"/>
        <v>-1.8346973584905657</v>
      </c>
    </row>
    <row r="66" spans="1:15" x14ac:dyDescent="0.2">
      <c r="A66" s="32">
        <v>14.5</v>
      </c>
      <c r="B66" s="1">
        <f t="shared" si="6"/>
        <v>0.125</v>
      </c>
      <c r="C66" s="1">
        <f t="shared" si="7"/>
        <v>0.75</v>
      </c>
      <c r="D66" s="33">
        <f t="shared" si="13"/>
        <v>1.220703125E-4</v>
      </c>
      <c r="E66" s="33">
        <f t="shared" si="8"/>
        <v>1.953125E-3</v>
      </c>
      <c r="F66" s="33">
        <f t="shared" si="14"/>
        <v>1.3</v>
      </c>
      <c r="G66" s="1">
        <f t="shared" si="15"/>
        <v>18.850000000000001</v>
      </c>
      <c r="H66" s="1">
        <f t="shared" si="16"/>
        <v>9651.2000000000007</v>
      </c>
      <c r="I66" s="1">
        <f t="shared" si="17"/>
        <v>3.8337201591511931</v>
      </c>
      <c r="J66" s="1">
        <v>1.5</v>
      </c>
      <c r="K66" s="34">
        <f t="shared" si="18"/>
        <v>1.4567849056603775E-2</v>
      </c>
      <c r="L66" s="34">
        <f t="shared" si="10"/>
        <v>0.10561690566037736</v>
      </c>
      <c r="M66" s="34">
        <f t="shared" si="11"/>
        <v>0.51055758490566039</v>
      </c>
      <c r="N66" s="34">
        <f t="shared" si="9"/>
        <v>-5.7141132075471682E-2</v>
      </c>
      <c r="O66" s="35">
        <f t="shared" si="12"/>
        <v>-1.8494339622641507</v>
      </c>
    </row>
    <row r="67" spans="1:15" x14ac:dyDescent="0.2">
      <c r="A67" s="32">
        <v>14.75</v>
      </c>
      <c r="B67" s="1">
        <f t="shared" si="6"/>
        <v>0.125</v>
      </c>
      <c r="C67" s="1">
        <f t="shared" si="7"/>
        <v>0.75</v>
      </c>
      <c r="D67" s="33">
        <f t="shared" si="13"/>
        <v>1.220703125E-4</v>
      </c>
      <c r="E67" s="33">
        <f t="shared" si="8"/>
        <v>1.953125E-3</v>
      </c>
      <c r="F67" s="33">
        <f t="shared" si="14"/>
        <v>1.3</v>
      </c>
      <c r="G67" s="1">
        <f t="shared" si="15"/>
        <v>19.175000000000001</v>
      </c>
      <c r="H67" s="1">
        <f t="shared" si="16"/>
        <v>9817.6</v>
      </c>
      <c r="I67" s="1">
        <f t="shared" si="17"/>
        <v>3.7687418513689699</v>
      </c>
      <c r="J67" s="1">
        <v>1.5</v>
      </c>
      <c r="K67" s="34">
        <f t="shared" si="18"/>
        <v>1.4819018867924529E-2</v>
      </c>
      <c r="L67" s="34">
        <f t="shared" si="10"/>
        <v>0.10929026415094339</v>
      </c>
      <c r="M67" s="34">
        <f t="shared" si="11"/>
        <v>0.53742098113207548</v>
      </c>
      <c r="N67" s="34">
        <f t="shared" si="9"/>
        <v>-5.3467773584905648E-2</v>
      </c>
      <c r="O67" s="35">
        <f t="shared" si="12"/>
        <v>-1.8632600754716979</v>
      </c>
    </row>
    <row r="68" spans="1:15" x14ac:dyDescent="0.2">
      <c r="A68" s="32">
        <v>15</v>
      </c>
      <c r="B68" s="1">
        <f t="shared" si="6"/>
        <v>0.125</v>
      </c>
      <c r="C68" s="1">
        <f t="shared" si="7"/>
        <v>0.75</v>
      </c>
      <c r="D68" s="33">
        <f t="shared" si="13"/>
        <v>1.220703125E-4</v>
      </c>
      <c r="E68" s="33">
        <f t="shared" si="8"/>
        <v>1.953125E-3</v>
      </c>
      <c r="F68" s="33">
        <f t="shared" si="14"/>
        <v>1.3</v>
      </c>
      <c r="G68" s="1">
        <f t="shared" si="15"/>
        <v>19.5</v>
      </c>
      <c r="H68" s="1">
        <f t="shared" si="16"/>
        <v>9984</v>
      </c>
      <c r="I68" s="1">
        <f t="shared" si="17"/>
        <v>3.7059294871794872</v>
      </c>
      <c r="J68" s="1">
        <v>1.5</v>
      </c>
      <c r="K68" s="34">
        <f t="shared" si="18"/>
        <v>1.5070188679245283E-2</v>
      </c>
      <c r="L68" s="34">
        <f t="shared" si="10"/>
        <v>0.11302641509433962</v>
      </c>
      <c r="M68" s="34">
        <f t="shared" si="11"/>
        <v>0.5652105660377359</v>
      </c>
      <c r="N68" s="34">
        <f t="shared" si="9"/>
        <v>-4.9731622641509418E-2</v>
      </c>
      <c r="O68" s="35">
        <f t="shared" si="12"/>
        <v>-1.8761599999999998</v>
      </c>
    </row>
    <row r="69" spans="1:15" x14ac:dyDescent="0.2">
      <c r="A69" s="32">
        <v>15.25</v>
      </c>
      <c r="B69" s="1">
        <f t="shared" si="6"/>
        <v>0.125</v>
      </c>
      <c r="C69" s="1">
        <f t="shared" si="7"/>
        <v>0.75</v>
      </c>
      <c r="D69" s="33">
        <f t="shared" si="13"/>
        <v>1.220703125E-4</v>
      </c>
      <c r="E69" s="33">
        <f t="shared" si="8"/>
        <v>1.953125E-3</v>
      </c>
      <c r="F69" s="33">
        <f t="shared" si="14"/>
        <v>1.3</v>
      </c>
      <c r="G69" s="1">
        <f t="shared" si="15"/>
        <v>19.824999999999999</v>
      </c>
      <c r="H69" s="1">
        <f t="shared" si="16"/>
        <v>10150.4</v>
      </c>
      <c r="I69" s="1">
        <f t="shared" si="17"/>
        <v>3.6451765447667088</v>
      </c>
      <c r="J69" s="1">
        <v>1.5</v>
      </c>
      <c r="K69" s="34">
        <f t="shared" si="18"/>
        <v>1.5321358490566038E-2</v>
      </c>
      <c r="L69" s="34">
        <f t="shared" si="10"/>
        <v>0.11682535849056604</v>
      </c>
      <c r="M69" s="34">
        <f t="shared" si="11"/>
        <v>0.59394203773584908</v>
      </c>
      <c r="N69" s="34">
        <f t="shared" si="9"/>
        <v>-4.5932679245283006E-2</v>
      </c>
      <c r="O69" s="35">
        <f t="shared" si="12"/>
        <v>-1.8881180377358489</v>
      </c>
    </row>
    <row r="70" spans="1:15" x14ac:dyDescent="0.2">
      <c r="A70" s="32">
        <v>15.5</v>
      </c>
      <c r="B70" s="1">
        <f t="shared" si="6"/>
        <v>0.125</v>
      </c>
      <c r="C70" s="1">
        <f t="shared" si="7"/>
        <v>0.75</v>
      </c>
      <c r="D70" s="33">
        <f t="shared" si="13"/>
        <v>1.220703125E-4</v>
      </c>
      <c r="E70" s="33">
        <f t="shared" si="8"/>
        <v>1.953125E-3</v>
      </c>
      <c r="F70" s="33">
        <f t="shared" si="14"/>
        <v>1.3</v>
      </c>
      <c r="G70" s="1">
        <f t="shared" si="15"/>
        <v>20.150000000000002</v>
      </c>
      <c r="H70" s="1">
        <f t="shared" si="16"/>
        <v>10316.800000000001</v>
      </c>
      <c r="I70" s="1">
        <f t="shared" si="17"/>
        <v>3.5863833746898259</v>
      </c>
      <c r="J70" s="1">
        <v>1.5</v>
      </c>
      <c r="K70" s="34">
        <f t="shared" si="18"/>
        <v>1.5572528301886794E-2</v>
      </c>
      <c r="L70" s="34">
        <f t="shared" si="10"/>
        <v>0.12068709433962264</v>
      </c>
      <c r="M70" s="34">
        <f t="shared" si="11"/>
        <v>0.62363109433962272</v>
      </c>
      <c r="N70" s="34">
        <f t="shared" si="9"/>
        <v>-4.2070943396226398E-2</v>
      </c>
      <c r="O70" s="35">
        <f t="shared" si="12"/>
        <v>-1.8991184905660374</v>
      </c>
    </row>
    <row r="71" spans="1:15" x14ac:dyDescent="0.2">
      <c r="A71" s="32">
        <v>15.75</v>
      </c>
      <c r="B71" s="1">
        <f t="shared" si="6"/>
        <v>0.125</v>
      </c>
      <c r="C71" s="1">
        <f t="shared" si="7"/>
        <v>0.75</v>
      </c>
      <c r="D71" s="33">
        <f t="shared" si="13"/>
        <v>1.220703125E-4</v>
      </c>
      <c r="E71" s="33">
        <f t="shared" si="8"/>
        <v>1.953125E-3</v>
      </c>
      <c r="F71" s="33">
        <f t="shared" si="14"/>
        <v>1.3</v>
      </c>
      <c r="G71" s="1">
        <f t="shared" si="15"/>
        <v>20.475000000000001</v>
      </c>
      <c r="H71" s="1">
        <f t="shared" si="16"/>
        <v>10483.200000000001</v>
      </c>
      <c r="I71" s="1">
        <f t="shared" si="17"/>
        <v>3.5294566544566544</v>
      </c>
      <c r="J71" s="1">
        <v>1.5</v>
      </c>
      <c r="K71" s="34">
        <f t="shared" si="18"/>
        <v>1.5823698113207548E-2</v>
      </c>
      <c r="L71" s="34">
        <f t="shared" si="10"/>
        <v>0.12461162264150943</v>
      </c>
      <c r="M71" s="34">
        <f t="shared" si="11"/>
        <v>0.65429343396226425</v>
      </c>
      <c r="N71" s="34">
        <f t="shared" si="9"/>
        <v>-3.8146415094339609E-2</v>
      </c>
      <c r="O71" s="35">
        <f t="shared" si="12"/>
        <v>-1.9091456603773582</v>
      </c>
    </row>
    <row r="72" spans="1:15" x14ac:dyDescent="0.2">
      <c r="A72" s="32">
        <v>16</v>
      </c>
      <c r="B72" s="1">
        <f t="shared" si="6"/>
        <v>0.125</v>
      </c>
      <c r="C72" s="1">
        <f t="shared" si="7"/>
        <v>0.75</v>
      </c>
      <c r="D72" s="33">
        <f t="shared" ref="D72:D103" si="19">1/12*C72*B72^3</f>
        <v>1.220703125E-4</v>
      </c>
      <c r="E72" s="33">
        <f t="shared" si="8"/>
        <v>1.953125E-3</v>
      </c>
      <c r="F72" s="33">
        <f t="shared" ref="F72:F103" si="20">0.5*$F$2-$F$2*GESTEP(A72,18)+0.5*$F$2*GESTEP(A72,36)</f>
        <v>1.3</v>
      </c>
      <c r="G72" s="1">
        <f t="shared" ref="G72:G103" si="21">0.5*$F$2*A72-$F$2*MAX(0,A72-18)</f>
        <v>20.8</v>
      </c>
      <c r="H72" s="1">
        <f t="shared" ref="H72:H103" si="22">ABS(G72*(B72/2)/D72)</f>
        <v>10649.6</v>
      </c>
      <c r="I72" s="1">
        <f t="shared" ref="I72:I103" si="23">$B$2/H72</f>
        <v>3.4743088942307692</v>
      </c>
      <c r="J72" s="1">
        <v>1.5</v>
      </c>
      <c r="K72" s="34">
        <f t="shared" ref="K72:K103" si="24">G72/($B$3*D72)</f>
        <v>1.6074867924528301E-2</v>
      </c>
      <c r="L72" s="34">
        <f t="shared" si="10"/>
        <v>0.12859894339622641</v>
      </c>
      <c r="M72" s="34">
        <f t="shared" si="11"/>
        <v>0.68594475471698124</v>
      </c>
      <c r="N72" s="34">
        <f t="shared" si="9"/>
        <v>-3.4159094339622637E-2</v>
      </c>
      <c r="O72" s="35">
        <f t="shared" si="12"/>
        <v>-1.9181838490566034</v>
      </c>
    </row>
    <row r="73" spans="1:15" x14ac:dyDescent="0.2">
      <c r="A73" s="32">
        <v>16.25</v>
      </c>
      <c r="B73" s="1">
        <f t="shared" ref="B73:B136" si="25">1/8</f>
        <v>0.125</v>
      </c>
      <c r="C73" s="1">
        <f t="shared" ref="C73:C136" si="26">3/4</f>
        <v>0.75</v>
      </c>
      <c r="D73" s="33">
        <f t="shared" si="19"/>
        <v>1.220703125E-4</v>
      </c>
      <c r="E73" s="33">
        <f t="shared" ref="E73:E136" si="27">D73/(B73/2)</f>
        <v>1.953125E-3</v>
      </c>
      <c r="F73" s="33">
        <f t="shared" si="20"/>
        <v>1.3</v>
      </c>
      <c r="G73" s="1">
        <f t="shared" si="21"/>
        <v>21.125</v>
      </c>
      <c r="H73" s="1">
        <f t="shared" si="22"/>
        <v>10816</v>
      </c>
      <c r="I73" s="1">
        <f t="shared" si="23"/>
        <v>3.4208579881656807</v>
      </c>
      <c r="J73" s="1">
        <v>1.5</v>
      </c>
      <c r="K73" s="34">
        <f t="shared" si="24"/>
        <v>1.6326037735849057E-2</v>
      </c>
      <c r="L73" s="34">
        <f t="shared" si="10"/>
        <v>0.13264905660377357</v>
      </c>
      <c r="M73" s="34">
        <f t="shared" si="11"/>
        <v>0.71860075471698126</v>
      </c>
      <c r="N73" s="34">
        <f t="shared" ref="N73:N136" si="28">L73+$N$4</f>
        <v>-3.0108981132075469E-2</v>
      </c>
      <c r="O73" s="35">
        <f t="shared" si="12"/>
        <v>-1.9262173584905657</v>
      </c>
    </row>
    <row r="74" spans="1:15" x14ac:dyDescent="0.2">
      <c r="A74" s="32">
        <v>16.5</v>
      </c>
      <c r="B74" s="1">
        <f t="shared" si="25"/>
        <v>0.125</v>
      </c>
      <c r="C74" s="1">
        <f t="shared" si="26"/>
        <v>0.75</v>
      </c>
      <c r="D74" s="33">
        <f t="shared" si="19"/>
        <v>1.220703125E-4</v>
      </c>
      <c r="E74" s="33">
        <f t="shared" si="27"/>
        <v>1.953125E-3</v>
      </c>
      <c r="F74" s="33">
        <f t="shared" si="20"/>
        <v>1.3</v>
      </c>
      <c r="G74" s="1">
        <f t="shared" si="21"/>
        <v>21.45</v>
      </c>
      <c r="H74" s="1">
        <f t="shared" si="22"/>
        <v>10982.4</v>
      </c>
      <c r="I74" s="1">
        <f t="shared" si="23"/>
        <v>3.3690268065268065</v>
      </c>
      <c r="J74" s="1">
        <v>1.5</v>
      </c>
      <c r="K74" s="34">
        <f t="shared" si="24"/>
        <v>1.657720754716981E-2</v>
      </c>
      <c r="L74" s="34">
        <f t="shared" ref="L74:L137" si="29">L73+AVERAGE(K73:K74)*(A74-A73)</f>
        <v>0.13676196226415094</v>
      </c>
      <c r="M74" s="34">
        <f t="shared" ref="M74:M137" si="30">M73+AVERAGE(L73:L74)*(A74-A73)</f>
        <v>0.75227713207547187</v>
      </c>
      <c r="N74" s="34">
        <f t="shared" si="28"/>
        <v>-2.5996075471698105E-2</v>
      </c>
      <c r="O74" s="35">
        <f t="shared" ref="O74:O137" si="31">O73+AVERAGE(N73:N74)*(A74-A73)</f>
        <v>-1.9332304905660374</v>
      </c>
    </row>
    <row r="75" spans="1:15" x14ac:dyDescent="0.2">
      <c r="A75" s="32">
        <v>16.75</v>
      </c>
      <c r="B75" s="1">
        <f t="shared" si="25"/>
        <v>0.125</v>
      </c>
      <c r="C75" s="1">
        <f t="shared" si="26"/>
        <v>0.75</v>
      </c>
      <c r="D75" s="33">
        <f t="shared" si="19"/>
        <v>1.220703125E-4</v>
      </c>
      <c r="E75" s="33">
        <f t="shared" si="27"/>
        <v>1.953125E-3</v>
      </c>
      <c r="F75" s="33">
        <f t="shared" si="20"/>
        <v>1.3</v>
      </c>
      <c r="G75" s="1">
        <f t="shared" si="21"/>
        <v>21.775000000000002</v>
      </c>
      <c r="H75" s="1">
        <f t="shared" si="22"/>
        <v>11148.800000000001</v>
      </c>
      <c r="I75" s="1">
        <f t="shared" si="23"/>
        <v>3.3187428243398389</v>
      </c>
      <c r="J75" s="1">
        <v>1.5</v>
      </c>
      <c r="K75" s="34">
        <f t="shared" si="24"/>
        <v>1.6828377358490569E-2</v>
      </c>
      <c r="L75" s="34">
        <f t="shared" si="29"/>
        <v>0.1409376603773585</v>
      </c>
      <c r="M75" s="34">
        <f t="shared" si="30"/>
        <v>0.78698958490566051</v>
      </c>
      <c r="N75" s="34">
        <f t="shared" si="28"/>
        <v>-2.1820377358490545E-2</v>
      </c>
      <c r="O75" s="35">
        <f t="shared" si="31"/>
        <v>-1.9392075471698109</v>
      </c>
    </row>
    <row r="76" spans="1:15" x14ac:dyDescent="0.2">
      <c r="A76" s="32">
        <v>17</v>
      </c>
      <c r="B76" s="1">
        <f t="shared" si="25"/>
        <v>0.125</v>
      </c>
      <c r="C76" s="1">
        <f t="shared" si="26"/>
        <v>0.75</v>
      </c>
      <c r="D76" s="33">
        <f t="shared" si="19"/>
        <v>1.220703125E-4</v>
      </c>
      <c r="E76" s="33">
        <f t="shared" si="27"/>
        <v>1.953125E-3</v>
      </c>
      <c r="F76" s="33">
        <f t="shared" si="20"/>
        <v>1.3</v>
      </c>
      <c r="G76" s="1">
        <f t="shared" si="21"/>
        <v>22.1</v>
      </c>
      <c r="H76" s="1">
        <f t="shared" si="22"/>
        <v>11315.2</v>
      </c>
      <c r="I76" s="1">
        <f t="shared" si="23"/>
        <v>3.2699377828054295</v>
      </c>
      <c r="J76" s="1">
        <v>1.5</v>
      </c>
      <c r="K76" s="34">
        <f t="shared" si="24"/>
        <v>1.7079547169811322E-2</v>
      </c>
      <c r="L76" s="34">
        <f t="shared" si="29"/>
        <v>0.14517615094339623</v>
      </c>
      <c r="M76" s="34">
        <f t="shared" si="30"/>
        <v>0.82275381132075487</v>
      </c>
      <c r="N76" s="34">
        <f t="shared" si="28"/>
        <v>-1.7581886792452817E-2</v>
      </c>
      <c r="O76" s="35">
        <f t="shared" si="31"/>
        <v>-1.9441328301886789</v>
      </c>
    </row>
    <row r="77" spans="1:15" x14ac:dyDescent="0.2">
      <c r="A77" s="32">
        <v>17.25</v>
      </c>
      <c r="B77" s="1">
        <f t="shared" si="25"/>
        <v>0.125</v>
      </c>
      <c r="C77" s="1">
        <f t="shared" si="26"/>
        <v>0.75</v>
      </c>
      <c r="D77" s="33">
        <f t="shared" si="19"/>
        <v>1.220703125E-4</v>
      </c>
      <c r="E77" s="33">
        <f t="shared" si="27"/>
        <v>1.953125E-3</v>
      </c>
      <c r="F77" s="33">
        <f t="shared" si="20"/>
        <v>1.3</v>
      </c>
      <c r="G77" s="1">
        <f t="shared" si="21"/>
        <v>22.425000000000001</v>
      </c>
      <c r="H77" s="1">
        <f t="shared" si="22"/>
        <v>11481.6</v>
      </c>
      <c r="I77" s="1">
        <f t="shared" si="23"/>
        <v>3.2225473801560756</v>
      </c>
      <c r="J77" s="1">
        <v>1.5</v>
      </c>
      <c r="K77" s="34">
        <f t="shared" si="24"/>
        <v>1.7330716981132074E-2</v>
      </c>
      <c r="L77" s="34">
        <f t="shared" si="29"/>
        <v>0.14947743396226415</v>
      </c>
      <c r="M77" s="34">
        <f t="shared" si="30"/>
        <v>0.85958550943396239</v>
      </c>
      <c r="N77" s="34">
        <f t="shared" si="28"/>
        <v>-1.3280603773584893E-2</v>
      </c>
      <c r="O77" s="35">
        <f t="shared" si="31"/>
        <v>-1.9479906415094337</v>
      </c>
    </row>
    <row r="78" spans="1:15" x14ac:dyDescent="0.2">
      <c r="A78" s="32">
        <v>17.5</v>
      </c>
      <c r="B78" s="1">
        <f t="shared" si="25"/>
        <v>0.125</v>
      </c>
      <c r="C78" s="1">
        <f t="shared" si="26"/>
        <v>0.75</v>
      </c>
      <c r="D78" s="33">
        <f t="shared" si="19"/>
        <v>1.220703125E-4</v>
      </c>
      <c r="E78" s="33">
        <f t="shared" si="27"/>
        <v>1.953125E-3</v>
      </c>
      <c r="F78" s="33">
        <f t="shared" si="20"/>
        <v>1.3</v>
      </c>
      <c r="G78" s="1">
        <f t="shared" si="21"/>
        <v>22.75</v>
      </c>
      <c r="H78" s="1">
        <f t="shared" si="22"/>
        <v>11648</v>
      </c>
      <c r="I78" s="1">
        <f t="shared" si="23"/>
        <v>3.1765109890109891</v>
      </c>
      <c r="J78" s="1">
        <v>1.5</v>
      </c>
      <c r="K78" s="34">
        <f t="shared" si="24"/>
        <v>1.758188679245283E-2</v>
      </c>
      <c r="L78" s="34">
        <f t="shared" si="29"/>
        <v>0.15384150943396227</v>
      </c>
      <c r="M78" s="34">
        <f t="shared" si="30"/>
        <v>0.89750037735849064</v>
      </c>
      <c r="N78" s="34">
        <f t="shared" si="28"/>
        <v>-8.9165283018867725E-3</v>
      </c>
      <c r="O78" s="35">
        <f t="shared" si="31"/>
        <v>-1.9507652830188675</v>
      </c>
    </row>
    <row r="79" spans="1:15" x14ac:dyDescent="0.2">
      <c r="A79" s="32">
        <v>17.75</v>
      </c>
      <c r="B79" s="1">
        <f t="shared" si="25"/>
        <v>0.125</v>
      </c>
      <c r="C79" s="1">
        <f t="shared" si="26"/>
        <v>0.75</v>
      </c>
      <c r="D79" s="33">
        <f t="shared" si="19"/>
        <v>1.220703125E-4</v>
      </c>
      <c r="E79" s="33">
        <f t="shared" si="27"/>
        <v>1.953125E-3</v>
      </c>
      <c r="F79" s="33">
        <f t="shared" si="20"/>
        <v>1.3</v>
      </c>
      <c r="G79" s="1">
        <f t="shared" si="21"/>
        <v>23.074999999999999</v>
      </c>
      <c r="H79" s="1">
        <f t="shared" si="22"/>
        <v>11814.4</v>
      </c>
      <c r="I79" s="1">
        <f t="shared" si="23"/>
        <v>3.1317713976164683</v>
      </c>
      <c r="J79" s="1">
        <v>1.5</v>
      </c>
      <c r="K79" s="34">
        <f t="shared" si="24"/>
        <v>1.7833056603773583E-2</v>
      </c>
      <c r="L79" s="34">
        <f t="shared" si="29"/>
        <v>0.15826837735849059</v>
      </c>
      <c r="M79" s="34">
        <f t="shared" si="30"/>
        <v>0.93651411320754729</v>
      </c>
      <c r="N79" s="34">
        <f t="shared" si="28"/>
        <v>-4.4896603773584565E-3</v>
      </c>
      <c r="O79" s="35">
        <f t="shared" si="31"/>
        <v>-1.9524410566037731</v>
      </c>
    </row>
    <row r="80" spans="1:15" x14ac:dyDescent="0.2">
      <c r="A80" s="32">
        <v>18</v>
      </c>
      <c r="B80" s="1">
        <f t="shared" si="25"/>
        <v>0.125</v>
      </c>
      <c r="C80" s="1">
        <f t="shared" si="26"/>
        <v>0.75</v>
      </c>
      <c r="D80" s="33">
        <f t="shared" si="19"/>
        <v>1.220703125E-4</v>
      </c>
      <c r="E80" s="33">
        <f t="shared" si="27"/>
        <v>1.953125E-3</v>
      </c>
      <c r="F80" s="33">
        <f t="shared" si="20"/>
        <v>-1.3</v>
      </c>
      <c r="G80" s="1">
        <f t="shared" si="21"/>
        <v>23.400000000000002</v>
      </c>
      <c r="H80" s="1">
        <f t="shared" si="22"/>
        <v>11980.800000000001</v>
      </c>
      <c r="I80" s="1">
        <f t="shared" si="23"/>
        <v>3.0882745726495724</v>
      </c>
      <c r="J80" s="1">
        <v>1.5</v>
      </c>
      <c r="K80" s="34">
        <f t="shared" si="24"/>
        <v>1.8084226415094343E-2</v>
      </c>
      <c r="L80" s="34">
        <f t="shared" si="29"/>
        <v>0.16275803773584907</v>
      </c>
      <c r="M80" s="34">
        <f t="shared" si="30"/>
        <v>0.9766424150943398</v>
      </c>
      <c r="N80" s="34">
        <f t="shared" si="28"/>
        <v>0</v>
      </c>
      <c r="O80" s="35">
        <f t="shared" si="31"/>
        <v>-1.9530022641509428</v>
      </c>
    </row>
    <row r="81" spans="1:15" x14ac:dyDescent="0.2">
      <c r="A81" s="32">
        <v>18.25</v>
      </c>
      <c r="B81" s="1">
        <f t="shared" si="25"/>
        <v>0.125</v>
      </c>
      <c r="C81" s="1">
        <f t="shared" si="26"/>
        <v>0.75</v>
      </c>
      <c r="D81" s="33">
        <f t="shared" si="19"/>
        <v>1.220703125E-4</v>
      </c>
      <c r="E81" s="33">
        <f t="shared" si="27"/>
        <v>1.953125E-3</v>
      </c>
      <c r="F81" s="33">
        <f t="shared" si="20"/>
        <v>-1.3</v>
      </c>
      <c r="G81" s="1">
        <f t="shared" si="21"/>
        <v>23.075000000000003</v>
      </c>
      <c r="H81" s="1">
        <f t="shared" si="22"/>
        <v>11814.400000000001</v>
      </c>
      <c r="I81" s="1">
        <f t="shared" si="23"/>
        <v>3.1317713976164678</v>
      </c>
      <c r="J81" s="1">
        <v>1.5</v>
      </c>
      <c r="K81" s="34">
        <f t="shared" si="24"/>
        <v>1.7833056603773587E-2</v>
      </c>
      <c r="L81" s="34">
        <f t="shared" si="29"/>
        <v>0.16724769811320755</v>
      </c>
      <c r="M81" s="34">
        <f t="shared" si="30"/>
        <v>1.0178931320754718</v>
      </c>
      <c r="N81" s="34">
        <f t="shared" si="28"/>
        <v>4.489660377358512E-3</v>
      </c>
      <c r="O81" s="35">
        <f t="shared" si="31"/>
        <v>-1.9524410566037731</v>
      </c>
    </row>
    <row r="82" spans="1:15" x14ac:dyDescent="0.2">
      <c r="A82" s="32">
        <v>18.5</v>
      </c>
      <c r="B82" s="1">
        <f t="shared" si="25"/>
        <v>0.125</v>
      </c>
      <c r="C82" s="1">
        <f t="shared" si="26"/>
        <v>0.75</v>
      </c>
      <c r="D82" s="33">
        <f t="shared" si="19"/>
        <v>1.220703125E-4</v>
      </c>
      <c r="E82" s="33">
        <f t="shared" si="27"/>
        <v>1.953125E-3</v>
      </c>
      <c r="F82" s="33">
        <f t="shared" si="20"/>
        <v>-1.3</v>
      </c>
      <c r="G82" s="1">
        <f t="shared" si="21"/>
        <v>22.75</v>
      </c>
      <c r="H82" s="1">
        <f t="shared" si="22"/>
        <v>11648</v>
      </c>
      <c r="I82" s="1">
        <f t="shared" si="23"/>
        <v>3.1765109890109891</v>
      </c>
      <c r="J82" s="1">
        <v>1.5</v>
      </c>
      <c r="K82" s="34">
        <f t="shared" si="24"/>
        <v>1.758188679245283E-2</v>
      </c>
      <c r="L82" s="34">
        <f t="shared" si="29"/>
        <v>0.17167456603773584</v>
      </c>
      <c r="M82" s="34">
        <f t="shared" si="30"/>
        <v>1.0602584150943397</v>
      </c>
      <c r="N82" s="34">
        <f t="shared" si="28"/>
        <v>8.9165283018868002E-3</v>
      </c>
      <c r="O82" s="35">
        <f t="shared" si="31"/>
        <v>-1.9507652830188675</v>
      </c>
    </row>
    <row r="83" spans="1:15" x14ac:dyDescent="0.2">
      <c r="A83" s="32">
        <v>18.75</v>
      </c>
      <c r="B83" s="1">
        <f t="shared" si="25"/>
        <v>0.125</v>
      </c>
      <c r="C83" s="1">
        <f t="shared" si="26"/>
        <v>0.75</v>
      </c>
      <c r="D83" s="33">
        <f t="shared" si="19"/>
        <v>1.220703125E-4</v>
      </c>
      <c r="E83" s="33">
        <f t="shared" si="27"/>
        <v>1.953125E-3</v>
      </c>
      <c r="F83" s="33">
        <f t="shared" si="20"/>
        <v>-1.3</v>
      </c>
      <c r="G83" s="1">
        <f t="shared" si="21"/>
        <v>22.425000000000001</v>
      </c>
      <c r="H83" s="1">
        <f t="shared" si="22"/>
        <v>11481.6</v>
      </c>
      <c r="I83" s="1">
        <f t="shared" si="23"/>
        <v>3.2225473801560756</v>
      </c>
      <c r="J83" s="1">
        <v>1.5</v>
      </c>
      <c r="K83" s="34">
        <f t="shared" si="24"/>
        <v>1.7330716981132074E-2</v>
      </c>
      <c r="L83" s="34">
        <f t="shared" si="29"/>
        <v>0.17603864150943396</v>
      </c>
      <c r="M83" s="34">
        <f t="shared" si="30"/>
        <v>1.1037225660377359</v>
      </c>
      <c r="N83" s="34">
        <f t="shared" si="28"/>
        <v>1.328060377358492E-2</v>
      </c>
      <c r="O83" s="35">
        <f t="shared" si="31"/>
        <v>-1.9479906415094335</v>
      </c>
    </row>
    <row r="84" spans="1:15" x14ac:dyDescent="0.2">
      <c r="A84" s="32">
        <v>19</v>
      </c>
      <c r="B84" s="1">
        <f t="shared" si="25"/>
        <v>0.125</v>
      </c>
      <c r="C84" s="1">
        <f t="shared" si="26"/>
        <v>0.75</v>
      </c>
      <c r="D84" s="33">
        <f t="shared" si="19"/>
        <v>1.220703125E-4</v>
      </c>
      <c r="E84" s="33">
        <f t="shared" si="27"/>
        <v>1.953125E-3</v>
      </c>
      <c r="F84" s="33">
        <f t="shared" si="20"/>
        <v>-1.3</v>
      </c>
      <c r="G84" s="1">
        <f t="shared" si="21"/>
        <v>22.099999999999998</v>
      </c>
      <c r="H84" s="1">
        <f t="shared" si="22"/>
        <v>11315.199999999999</v>
      </c>
      <c r="I84" s="1">
        <f t="shared" si="23"/>
        <v>3.2699377828054303</v>
      </c>
      <c r="J84" s="1">
        <v>1.5</v>
      </c>
      <c r="K84" s="34">
        <f t="shared" si="24"/>
        <v>1.7079547169811318E-2</v>
      </c>
      <c r="L84" s="34">
        <f t="shared" si="29"/>
        <v>0.18033992452830189</v>
      </c>
      <c r="M84" s="34">
        <f t="shared" si="30"/>
        <v>1.1482698867924528</v>
      </c>
      <c r="N84" s="34">
        <f t="shared" si="28"/>
        <v>1.7581886792452844E-2</v>
      </c>
      <c r="O84" s="35">
        <f t="shared" si="31"/>
        <v>-1.9441328301886787</v>
      </c>
    </row>
    <row r="85" spans="1:15" x14ac:dyDescent="0.2">
      <c r="A85" s="32">
        <v>19.25</v>
      </c>
      <c r="B85" s="1">
        <f t="shared" si="25"/>
        <v>0.125</v>
      </c>
      <c r="C85" s="1">
        <f t="shared" si="26"/>
        <v>0.75</v>
      </c>
      <c r="D85" s="33">
        <f t="shared" si="19"/>
        <v>1.220703125E-4</v>
      </c>
      <c r="E85" s="33">
        <f t="shared" si="27"/>
        <v>1.953125E-3</v>
      </c>
      <c r="F85" s="33">
        <f t="shared" si="20"/>
        <v>-1.3</v>
      </c>
      <c r="G85" s="1">
        <f t="shared" si="21"/>
        <v>21.775000000000002</v>
      </c>
      <c r="H85" s="1">
        <f t="shared" si="22"/>
        <v>11148.800000000001</v>
      </c>
      <c r="I85" s="1">
        <f t="shared" si="23"/>
        <v>3.3187428243398389</v>
      </c>
      <c r="J85" s="1">
        <v>1.5</v>
      </c>
      <c r="K85" s="34">
        <f t="shared" si="24"/>
        <v>1.6828377358490569E-2</v>
      </c>
      <c r="L85" s="34">
        <f t="shared" si="29"/>
        <v>0.18457841509433962</v>
      </c>
      <c r="M85" s="34">
        <f t="shared" si="30"/>
        <v>1.1938846792452831</v>
      </c>
      <c r="N85" s="34">
        <f t="shared" si="28"/>
        <v>2.1820377358490572E-2</v>
      </c>
      <c r="O85" s="35">
        <f t="shared" si="31"/>
        <v>-1.9392075471698107</v>
      </c>
    </row>
    <row r="86" spans="1:15" x14ac:dyDescent="0.2">
      <c r="A86" s="32">
        <v>19.5</v>
      </c>
      <c r="B86" s="1">
        <f t="shared" si="25"/>
        <v>0.125</v>
      </c>
      <c r="C86" s="1">
        <f t="shared" si="26"/>
        <v>0.75</v>
      </c>
      <c r="D86" s="33">
        <f t="shared" si="19"/>
        <v>1.220703125E-4</v>
      </c>
      <c r="E86" s="33">
        <f t="shared" si="27"/>
        <v>1.953125E-3</v>
      </c>
      <c r="F86" s="33">
        <f t="shared" si="20"/>
        <v>-1.3</v>
      </c>
      <c r="G86" s="1">
        <f t="shared" si="21"/>
        <v>21.450000000000003</v>
      </c>
      <c r="H86" s="1">
        <f t="shared" si="22"/>
        <v>10982.400000000001</v>
      </c>
      <c r="I86" s="1">
        <f t="shared" si="23"/>
        <v>3.3690268065268061</v>
      </c>
      <c r="J86" s="1">
        <v>1.5</v>
      </c>
      <c r="K86" s="34">
        <f t="shared" si="24"/>
        <v>1.6577207547169813E-2</v>
      </c>
      <c r="L86" s="34">
        <f t="shared" si="29"/>
        <v>0.18875411320754718</v>
      </c>
      <c r="M86" s="34">
        <f t="shared" si="30"/>
        <v>1.240551245283019</v>
      </c>
      <c r="N86" s="34">
        <f t="shared" si="28"/>
        <v>2.5996075471698132E-2</v>
      </c>
      <c r="O86" s="35">
        <f t="shared" si="31"/>
        <v>-1.9332304905660371</v>
      </c>
    </row>
    <row r="87" spans="1:15" x14ac:dyDescent="0.2">
      <c r="A87" s="32">
        <v>19.75</v>
      </c>
      <c r="B87" s="1">
        <f t="shared" si="25"/>
        <v>0.125</v>
      </c>
      <c r="C87" s="1">
        <f t="shared" si="26"/>
        <v>0.75</v>
      </c>
      <c r="D87" s="33">
        <f t="shared" si="19"/>
        <v>1.220703125E-4</v>
      </c>
      <c r="E87" s="33">
        <f t="shared" si="27"/>
        <v>1.953125E-3</v>
      </c>
      <c r="F87" s="33">
        <f t="shared" si="20"/>
        <v>-1.3</v>
      </c>
      <c r="G87" s="1">
        <f t="shared" si="21"/>
        <v>21.125</v>
      </c>
      <c r="H87" s="1">
        <f t="shared" si="22"/>
        <v>10816</v>
      </c>
      <c r="I87" s="1">
        <f t="shared" si="23"/>
        <v>3.4208579881656807</v>
      </c>
      <c r="J87" s="1">
        <v>1.5</v>
      </c>
      <c r="K87" s="34">
        <f t="shared" si="24"/>
        <v>1.6326037735849057E-2</v>
      </c>
      <c r="L87" s="34">
        <f t="shared" si="29"/>
        <v>0.19286701886792454</v>
      </c>
      <c r="M87" s="34">
        <f t="shared" si="30"/>
        <v>1.2882538867924529</v>
      </c>
      <c r="N87" s="34">
        <f t="shared" si="28"/>
        <v>3.0108981132075496E-2</v>
      </c>
      <c r="O87" s="35">
        <f t="shared" si="31"/>
        <v>-1.9262173584905655</v>
      </c>
    </row>
    <row r="88" spans="1:15" x14ac:dyDescent="0.2">
      <c r="A88" s="32">
        <v>20</v>
      </c>
      <c r="B88" s="1">
        <f t="shared" si="25"/>
        <v>0.125</v>
      </c>
      <c r="C88" s="1">
        <f t="shared" si="26"/>
        <v>0.75</v>
      </c>
      <c r="D88" s="33">
        <f t="shared" si="19"/>
        <v>1.220703125E-4</v>
      </c>
      <c r="E88" s="33">
        <f t="shared" si="27"/>
        <v>1.953125E-3</v>
      </c>
      <c r="F88" s="33">
        <f t="shared" si="20"/>
        <v>-1.3</v>
      </c>
      <c r="G88" s="1">
        <f t="shared" si="21"/>
        <v>20.8</v>
      </c>
      <c r="H88" s="1">
        <f t="shared" si="22"/>
        <v>10649.6</v>
      </c>
      <c r="I88" s="1">
        <f t="shared" si="23"/>
        <v>3.4743088942307692</v>
      </c>
      <c r="J88" s="1">
        <v>1.5</v>
      </c>
      <c r="K88" s="34">
        <f t="shared" si="24"/>
        <v>1.6074867924528301E-2</v>
      </c>
      <c r="L88" s="34">
        <f t="shared" si="29"/>
        <v>0.19691713207547171</v>
      </c>
      <c r="M88" s="34">
        <f t="shared" si="30"/>
        <v>1.3369769056603775</v>
      </c>
      <c r="N88" s="34">
        <f t="shared" si="28"/>
        <v>3.4159094339622664E-2</v>
      </c>
      <c r="O88" s="35">
        <f t="shared" si="31"/>
        <v>-1.9181838490566032</v>
      </c>
    </row>
    <row r="89" spans="1:15" x14ac:dyDescent="0.2">
      <c r="A89" s="32">
        <v>20.25</v>
      </c>
      <c r="B89" s="1">
        <f t="shared" si="25"/>
        <v>0.125</v>
      </c>
      <c r="C89" s="1">
        <f t="shared" si="26"/>
        <v>0.75</v>
      </c>
      <c r="D89" s="33">
        <f t="shared" si="19"/>
        <v>1.220703125E-4</v>
      </c>
      <c r="E89" s="33">
        <f t="shared" si="27"/>
        <v>1.953125E-3</v>
      </c>
      <c r="F89" s="33">
        <f t="shared" si="20"/>
        <v>-1.3</v>
      </c>
      <c r="G89" s="1">
        <f t="shared" si="21"/>
        <v>20.474999999999998</v>
      </c>
      <c r="H89" s="1">
        <f t="shared" si="22"/>
        <v>10483.199999999999</v>
      </c>
      <c r="I89" s="1">
        <f t="shared" si="23"/>
        <v>3.5294566544566548</v>
      </c>
      <c r="J89" s="1">
        <v>1.5</v>
      </c>
      <c r="K89" s="34">
        <f t="shared" si="24"/>
        <v>1.5823698113207545E-2</v>
      </c>
      <c r="L89" s="34">
        <f t="shared" si="29"/>
        <v>0.20090445283018868</v>
      </c>
      <c r="M89" s="34">
        <f t="shared" si="30"/>
        <v>1.3867046037735851</v>
      </c>
      <c r="N89" s="34">
        <f t="shared" si="28"/>
        <v>3.8146415094339636E-2</v>
      </c>
      <c r="O89" s="35">
        <f t="shared" si="31"/>
        <v>-1.909145660377358</v>
      </c>
    </row>
    <row r="90" spans="1:15" x14ac:dyDescent="0.2">
      <c r="A90" s="32">
        <v>20.5</v>
      </c>
      <c r="B90" s="1">
        <f t="shared" si="25"/>
        <v>0.125</v>
      </c>
      <c r="C90" s="1">
        <f t="shared" si="26"/>
        <v>0.75</v>
      </c>
      <c r="D90" s="33">
        <f t="shared" si="19"/>
        <v>1.220703125E-4</v>
      </c>
      <c r="E90" s="33">
        <f t="shared" si="27"/>
        <v>1.953125E-3</v>
      </c>
      <c r="F90" s="33">
        <f t="shared" si="20"/>
        <v>-1.3</v>
      </c>
      <c r="G90" s="1">
        <f t="shared" si="21"/>
        <v>20.150000000000002</v>
      </c>
      <c r="H90" s="1">
        <f t="shared" si="22"/>
        <v>10316.800000000001</v>
      </c>
      <c r="I90" s="1">
        <f t="shared" si="23"/>
        <v>3.5863833746898259</v>
      </c>
      <c r="J90" s="1">
        <v>1.5</v>
      </c>
      <c r="K90" s="34">
        <f t="shared" si="24"/>
        <v>1.5572528301886794E-2</v>
      </c>
      <c r="L90" s="34">
        <f t="shared" si="29"/>
        <v>0.20482898113207548</v>
      </c>
      <c r="M90" s="34">
        <f t="shared" si="30"/>
        <v>1.4374212830188682</v>
      </c>
      <c r="N90" s="34">
        <f t="shared" si="28"/>
        <v>4.207094339622644E-2</v>
      </c>
      <c r="O90" s="35">
        <f t="shared" si="31"/>
        <v>-1.8991184905660372</v>
      </c>
    </row>
    <row r="91" spans="1:15" x14ac:dyDescent="0.2">
      <c r="A91" s="32">
        <v>20.75</v>
      </c>
      <c r="B91" s="1">
        <f t="shared" si="25"/>
        <v>0.125</v>
      </c>
      <c r="C91" s="1">
        <f t="shared" si="26"/>
        <v>0.75</v>
      </c>
      <c r="D91" s="33">
        <f t="shared" si="19"/>
        <v>1.220703125E-4</v>
      </c>
      <c r="E91" s="33">
        <f t="shared" si="27"/>
        <v>1.953125E-3</v>
      </c>
      <c r="F91" s="33">
        <f t="shared" si="20"/>
        <v>-1.3</v>
      </c>
      <c r="G91" s="1">
        <f t="shared" si="21"/>
        <v>19.825000000000003</v>
      </c>
      <c r="H91" s="1">
        <f t="shared" si="22"/>
        <v>10150.400000000001</v>
      </c>
      <c r="I91" s="1">
        <f t="shared" si="23"/>
        <v>3.6451765447667084</v>
      </c>
      <c r="J91" s="1">
        <v>1.5</v>
      </c>
      <c r="K91" s="34">
        <f t="shared" si="24"/>
        <v>1.5321358490566039E-2</v>
      </c>
      <c r="L91" s="34">
        <f t="shared" si="29"/>
        <v>0.20869071698113209</v>
      </c>
      <c r="M91" s="34">
        <f t="shared" si="30"/>
        <v>1.4891112452830191</v>
      </c>
      <c r="N91" s="34">
        <f t="shared" si="28"/>
        <v>4.5932679245283048E-2</v>
      </c>
      <c r="O91" s="35">
        <f t="shared" si="31"/>
        <v>-1.8881180377358486</v>
      </c>
    </row>
    <row r="92" spans="1:15" x14ac:dyDescent="0.2">
      <c r="A92" s="32">
        <v>21</v>
      </c>
      <c r="B92" s="1">
        <f t="shared" si="25"/>
        <v>0.125</v>
      </c>
      <c r="C92" s="1">
        <f t="shared" si="26"/>
        <v>0.75</v>
      </c>
      <c r="D92" s="33">
        <f t="shared" si="19"/>
        <v>1.220703125E-4</v>
      </c>
      <c r="E92" s="33">
        <f t="shared" si="27"/>
        <v>1.953125E-3</v>
      </c>
      <c r="F92" s="33">
        <f t="shared" si="20"/>
        <v>-1.3</v>
      </c>
      <c r="G92" s="1">
        <f t="shared" si="21"/>
        <v>19.5</v>
      </c>
      <c r="H92" s="1">
        <f t="shared" si="22"/>
        <v>9984</v>
      </c>
      <c r="I92" s="1">
        <f t="shared" si="23"/>
        <v>3.7059294871794872</v>
      </c>
      <c r="J92" s="1">
        <v>1.5</v>
      </c>
      <c r="K92" s="34">
        <f t="shared" si="24"/>
        <v>1.5070188679245283E-2</v>
      </c>
      <c r="L92" s="34">
        <f t="shared" si="29"/>
        <v>0.2124896603773585</v>
      </c>
      <c r="M92" s="34">
        <f t="shared" si="30"/>
        <v>1.5417587924528304</v>
      </c>
      <c r="N92" s="34">
        <f t="shared" si="28"/>
        <v>4.973162264150946E-2</v>
      </c>
      <c r="O92" s="35">
        <f t="shared" si="31"/>
        <v>-1.8761599999999996</v>
      </c>
    </row>
    <row r="93" spans="1:15" x14ac:dyDescent="0.2">
      <c r="A93" s="32">
        <v>21.25</v>
      </c>
      <c r="B93" s="1">
        <f t="shared" si="25"/>
        <v>0.125</v>
      </c>
      <c r="C93" s="1">
        <f t="shared" si="26"/>
        <v>0.75</v>
      </c>
      <c r="D93" s="33">
        <f t="shared" si="19"/>
        <v>1.220703125E-4</v>
      </c>
      <c r="E93" s="33">
        <f t="shared" si="27"/>
        <v>1.953125E-3</v>
      </c>
      <c r="F93" s="33">
        <f t="shared" si="20"/>
        <v>-1.3</v>
      </c>
      <c r="G93" s="1">
        <f t="shared" si="21"/>
        <v>19.174999999999997</v>
      </c>
      <c r="H93" s="1">
        <f t="shared" si="22"/>
        <v>9817.5999999999985</v>
      </c>
      <c r="I93" s="1">
        <f t="shared" si="23"/>
        <v>3.7687418513689708</v>
      </c>
      <c r="J93" s="1">
        <v>1.5</v>
      </c>
      <c r="K93" s="34">
        <f t="shared" si="24"/>
        <v>1.4819018867924525E-2</v>
      </c>
      <c r="L93" s="34">
        <f t="shared" si="29"/>
        <v>0.21622581132075472</v>
      </c>
      <c r="M93" s="34">
        <f t="shared" si="30"/>
        <v>1.5953482264150947</v>
      </c>
      <c r="N93" s="34">
        <f t="shared" si="28"/>
        <v>5.3467773584905676E-2</v>
      </c>
      <c r="O93" s="35">
        <f t="shared" si="31"/>
        <v>-1.8632600754716977</v>
      </c>
    </row>
    <row r="94" spans="1:15" x14ac:dyDescent="0.2">
      <c r="A94" s="32">
        <v>21.5</v>
      </c>
      <c r="B94" s="1">
        <f t="shared" si="25"/>
        <v>0.125</v>
      </c>
      <c r="C94" s="1">
        <f t="shared" si="26"/>
        <v>0.75</v>
      </c>
      <c r="D94" s="33">
        <f t="shared" si="19"/>
        <v>1.220703125E-4</v>
      </c>
      <c r="E94" s="33">
        <f t="shared" si="27"/>
        <v>1.953125E-3</v>
      </c>
      <c r="F94" s="33">
        <f t="shared" si="20"/>
        <v>-1.3</v>
      </c>
      <c r="G94" s="1">
        <f t="shared" si="21"/>
        <v>18.850000000000001</v>
      </c>
      <c r="H94" s="1">
        <f t="shared" si="22"/>
        <v>9651.2000000000007</v>
      </c>
      <c r="I94" s="1">
        <f t="shared" si="23"/>
        <v>3.8337201591511931</v>
      </c>
      <c r="J94" s="1">
        <v>1.5</v>
      </c>
      <c r="K94" s="34">
        <f t="shared" si="24"/>
        <v>1.4567849056603775E-2</v>
      </c>
      <c r="L94" s="34">
        <f t="shared" si="29"/>
        <v>0.21989916981132077</v>
      </c>
      <c r="M94" s="34">
        <f t="shared" si="30"/>
        <v>1.649863849056604</v>
      </c>
      <c r="N94" s="34">
        <f t="shared" si="28"/>
        <v>5.7141132075471723E-2</v>
      </c>
      <c r="O94" s="35">
        <f t="shared" si="31"/>
        <v>-1.8494339622641505</v>
      </c>
    </row>
    <row r="95" spans="1:15" x14ac:dyDescent="0.2">
      <c r="A95" s="32">
        <v>21.75</v>
      </c>
      <c r="B95" s="1">
        <f t="shared" si="25"/>
        <v>0.125</v>
      </c>
      <c r="C95" s="1">
        <f t="shared" si="26"/>
        <v>0.75</v>
      </c>
      <c r="D95" s="33">
        <f t="shared" si="19"/>
        <v>1.220703125E-4</v>
      </c>
      <c r="E95" s="33">
        <f t="shared" si="27"/>
        <v>1.953125E-3</v>
      </c>
      <c r="F95" s="33">
        <f t="shared" si="20"/>
        <v>-1.3</v>
      </c>
      <c r="G95" s="1">
        <f t="shared" si="21"/>
        <v>18.525000000000002</v>
      </c>
      <c r="H95" s="1">
        <f t="shared" si="22"/>
        <v>9484.8000000000011</v>
      </c>
      <c r="I95" s="1">
        <f t="shared" si="23"/>
        <v>3.9009784075573544</v>
      </c>
      <c r="J95" s="1">
        <v>1.5</v>
      </c>
      <c r="K95" s="34">
        <f t="shared" si="24"/>
        <v>1.431667924528302E-2</v>
      </c>
      <c r="L95" s="34">
        <f t="shared" si="29"/>
        <v>0.22350973584905662</v>
      </c>
      <c r="M95" s="34">
        <f t="shared" si="30"/>
        <v>1.7052899622641511</v>
      </c>
      <c r="N95" s="34">
        <f t="shared" si="28"/>
        <v>6.0751698113207575E-2</v>
      </c>
      <c r="O95" s="35">
        <f t="shared" si="31"/>
        <v>-1.8346973584905655</v>
      </c>
    </row>
    <row r="96" spans="1:15" x14ac:dyDescent="0.2">
      <c r="A96" s="32">
        <v>22</v>
      </c>
      <c r="B96" s="1">
        <f t="shared" si="25"/>
        <v>0.125</v>
      </c>
      <c r="C96" s="1">
        <f t="shared" si="26"/>
        <v>0.75</v>
      </c>
      <c r="D96" s="33">
        <f t="shared" si="19"/>
        <v>1.220703125E-4</v>
      </c>
      <c r="E96" s="33">
        <f t="shared" si="27"/>
        <v>1.953125E-3</v>
      </c>
      <c r="F96" s="33">
        <f t="shared" si="20"/>
        <v>-1.3</v>
      </c>
      <c r="G96" s="1">
        <f t="shared" si="21"/>
        <v>18.200000000000003</v>
      </c>
      <c r="H96" s="1">
        <f t="shared" si="22"/>
        <v>9318.4000000000015</v>
      </c>
      <c r="I96" s="1">
        <f t="shared" si="23"/>
        <v>3.9706387362637354</v>
      </c>
      <c r="J96" s="1">
        <v>1.5</v>
      </c>
      <c r="K96" s="34">
        <f t="shared" si="24"/>
        <v>1.4065509433962266E-2</v>
      </c>
      <c r="L96" s="34">
        <f t="shared" si="29"/>
        <v>0.22705750943396227</v>
      </c>
      <c r="M96" s="34">
        <f t="shared" si="30"/>
        <v>1.7616108679245284</v>
      </c>
      <c r="N96" s="34">
        <f t="shared" si="28"/>
        <v>6.4299471698113231E-2</v>
      </c>
      <c r="O96" s="35">
        <f t="shared" si="31"/>
        <v>-1.8190659622641503</v>
      </c>
    </row>
    <row r="97" spans="1:15" x14ac:dyDescent="0.2">
      <c r="A97" s="32">
        <v>22.25</v>
      </c>
      <c r="B97" s="1">
        <f t="shared" si="25"/>
        <v>0.125</v>
      </c>
      <c r="C97" s="1">
        <f t="shared" si="26"/>
        <v>0.75</v>
      </c>
      <c r="D97" s="33">
        <f t="shared" si="19"/>
        <v>1.220703125E-4</v>
      </c>
      <c r="E97" s="33">
        <f t="shared" si="27"/>
        <v>1.953125E-3</v>
      </c>
      <c r="F97" s="33">
        <f t="shared" si="20"/>
        <v>-1.3</v>
      </c>
      <c r="G97" s="1">
        <f t="shared" si="21"/>
        <v>17.875</v>
      </c>
      <c r="H97" s="1">
        <f t="shared" si="22"/>
        <v>9152</v>
      </c>
      <c r="I97" s="1">
        <f t="shared" si="23"/>
        <v>4.0428321678321675</v>
      </c>
      <c r="J97" s="1">
        <v>1.5</v>
      </c>
      <c r="K97" s="34">
        <f t="shared" si="24"/>
        <v>1.381433962264151E-2</v>
      </c>
      <c r="L97" s="34">
        <f t="shared" si="29"/>
        <v>0.23054249056603773</v>
      </c>
      <c r="M97" s="34">
        <f t="shared" si="30"/>
        <v>1.8188108679245283</v>
      </c>
      <c r="N97" s="34">
        <f t="shared" si="28"/>
        <v>6.7784452830188691E-2</v>
      </c>
      <c r="O97" s="35">
        <f t="shared" si="31"/>
        <v>-1.8025554716981125</v>
      </c>
    </row>
    <row r="98" spans="1:15" x14ac:dyDescent="0.2">
      <c r="A98" s="32">
        <v>22.5</v>
      </c>
      <c r="B98" s="1">
        <f t="shared" si="25"/>
        <v>0.125</v>
      </c>
      <c r="C98" s="1">
        <f t="shared" si="26"/>
        <v>0.75</v>
      </c>
      <c r="D98" s="33">
        <f t="shared" ref="D98:D115" si="32">1/12*C98*B98^3</f>
        <v>1.220703125E-4</v>
      </c>
      <c r="E98" s="33">
        <f t="shared" si="27"/>
        <v>1.953125E-3</v>
      </c>
      <c r="F98" s="33">
        <f t="shared" si="20"/>
        <v>-1.3</v>
      </c>
      <c r="G98" s="1">
        <f t="shared" si="21"/>
        <v>17.549999999999997</v>
      </c>
      <c r="H98" s="1">
        <f t="shared" si="22"/>
        <v>8985.5999999999985</v>
      </c>
      <c r="I98" s="1">
        <f t="shared" si="23"/>
        <v>4.1176994301994307</v>
      </c>
      <c r="J98" s="1">
        <v>1.5</v>
      </c>
      <c r="K98" s="34">
        <f t="shared" si="24"/>
        <v>1.3563169811320752E-2</v>
      </c>
      <c r="L98" s="34">
        <f t="shared" si="29"/>
        <v>0.23396467924528302</v>
      </c>
      <c r="M98" s="34">
        <f t="shared" si="30"/>
        <v>1.8768742641509433</v>
      </c>
      <c r="N98" s="34">
        <f t="shared" si="28"/>
        <v>7.1206641509433982E-2</v>
      </c>
      <c r="O98" s="35">
        <f t="shared" si="31"/>
        <v>-1.7851815849056596</v>
      </c>
    </row>
    <row r="99" spans="1:15" x14ac:dyDescent="0.2">
      <c r="A99" s="32">
        <v>22.75</v>
      </c>
      <c r="B99" s="1">
        <f t="shared" si="25"/>
        <v>0.125</v>
      </c>
      <c r="C99" s="1">
        <f t="shared" si="26"/>
        <v>0.75</v>
      </c>
      <c r="D99" s="33">
        <f t="shared" si="32"/>
        <v>1.220703125E-4</v>
      </c>
      <c r="E99" s="33">
        <f t="shared" si="27"/>
        <v>1.953125E-3</v>
      </c>
      <c r="F99" s="33">
        <f t="shared" si="20"/>
        <v>-1.3</v>
      </c>
      <c r="G99" s="1">
        <f t="shared" si="21"/>
        <v>17.225000000000001</v>
      </c>
      <c r="H99" s="1">
        <f t="shared" si="22"/>
        <v>8819.2000000000007</v>
      </c>
      <c r="I99" s="1">
        <f t="shared" si="23"/>
        <v>4.1953918722786643</v>
      </c>
      <c r="J99" s="1">
        <v>1.5</v>
      </c>
      <c r="K99" s="34">
        <f t="shared" si="24"/>
        <v>1.3312000000000001E-2</v>
      </c>
      <c r="L99" s="34">
        <f t="shared" si="29"/>
        <v>0.23732407547169812</v>
      </c>
      <c r="M99" s="34">
        <f t="shared" si="30"/>
        <v>1.935785358490566</v>
      </c>
      <c r="N99" s="34">
        <f t="shared" si="28"/>
        <v>7.4566037735849078E-2</v>
      </c>
      <c r="O99" s="35">
        <f t="shared" si="31"/>
        <v>-1.7669599999999992</v>
      </c>
    </row>
    <row r="100" spans="1:15" x14ac:dyDescent="0.2">
      <c r="A100" s="32">
        <v>23</v>
      </c>
      <c r="B100" s="1">
        <f t="shared" si="25"/>
        <v>0.125</v>
      </c>
      <c r="C100" s="1">
        <f t="shared" si="26"/>
        <v>0.75</v>
      </c>
      <c r="D100" s="33">
        <f t="shared" si="32"/>
        <v>1.220703125E-4</v>
      </c>
      <c r="E100" s="33">
        <f t="shared" si="27"/>
        <v>1.953125E-3</v>
      </c>
      <c r="F100" s="33">
        <f t="shared" si="20"/>
        <v>-1.3</v>
      </c>
      <c r="G100" s="1">
        <f t="shared" si="21"/>
        <v>16.900000000000002</v>
      </c>
      <c r="H100" s="1">
        <f t="shared" si="22"/>
        <v>8652.8000000000011</v>
      </c>
      <c r="I100" s="1">
        <f t="shared" si="23"/>
        <v>4.2760724852071004</v>
      </c>
      <c r="J100" s="1">
        <v>1.5</v>
      </c>
      <c r="K100" s="34">
        <f t="shared" si="24"/>
        <v>1.3060830188679247E-2</v>
      </c>
      <c r="L100" s="34">
        <f t="shared" si="29"/>
        <v>0.24062067924528302</v>
      </c>
      <c r="M100" s="34">
        <f t="shared" si="30"/>
        <v>1.9955284528301886</v>
      </c>
      <c r="N100" s="34">
        <f t="shared" si="28"/>
        <v>7.7862641509433977E-2</v>
      </c>
      <c r="O100" s="35">
        <f t="shared" si="31"/>
        <v>-1.7479064150943389</v>
      </c>
    </row>
    <row r="101" spans="1:15" x14ac:dyDescent="0.2">
      <c r="A101" s="32">
        <v>23.25</v>
      </c>
      <c r="B101" s="1">
        <f t="shared" si="25"/>
        <v>0.125</v>
      </c>
      <c r="C101" s="1">
        <f t="shared" si="26"/>
        <v>0.75</v>
      </c>
      <c r="D101" s="33">
        <f t="shared" si="32"/>
        <v>1.220703125E-4</v>
      </c>
      <c r="E101" s="33">
        <f t="shared" si="27"/>
        <v>1.953125E-3</v>
      </c>
      <c r="F101" s="33">
        <f t="shared" si="20"/>
        <v>-1.3</v>
      </c>
      <c r="G101" s="1">
        <f t="shared" si="21"/>
        <v>16.575000000000003</v>
      </c>
      <c r="H101" s="1">
        <f t="shared" si="22"/>
        <v>8486.4000000000015</v>
      </c>
      <c r="I101" s="1">
        <f t="shared" si="23"/>
        <v>4.3599170437405723</v>
      </c>
      <c r="J101" s="1">
        <v>1.5</v>
      </c>
      <c r="K101" s="34">
        <f t="shared" si="24"/>
        <v>1.2809660377358492E-2</v>
      </c>
      <c r="L101" s="34">
        <f t="shared" si="29"/>
        <v>0.24385449056603775</v>
      </c>
      <c r="M101" s="34">
        <f t="shared" si="30"/>
        <v>2.0560878490566039</v>
      </c>
      <c r="N101" s="34">
        <f t="shared" si="28"/>
        <v>8.1096452830188709E-2</v>
      </c>
      <c r="O101" s="35">
        <f t="shared" si="31"/>
        <v>-1.7280365283018859</v>
      </c>
    </row>
    <row r="102" spans="1:15" x14ac:dyDescent="0.2">
      <c r="A102" s="32">
        <v>23.5</v>
      </c>
      <c r="B102" s="1">
        <f t="shared" si="25"/>
        <v>0.125</v>
      </c>
      <c r="C102" s="1">
        <f t="shared" si="26"/>
        <v>0.75</v>
      </c>
      <c r="D102" s="33">
        <f t="shared" si="32"/>
        <v>1.220703125E-4</v>
      </c>
      <c r="E102" s="33">
        <f t="shared" si="27"/>
        <v>1.953125E-3</v>
      </c>
      <c r="F102" s="33">
        <f t="shared" si="20"/>
        <v>-1.3</v>
      </c>
      <c r="G102" s="1">
        <f t="shared" si="21"/>
        <v>16.25</v>
      </c>
      <c r="H102" s="1">
        <f t="shared" si="22"/>
        <v>8320</v>
      </c>
      <c r="I102" s="1">
        <f t="shared" si="23"/>
        <v>4.447115384615385</v>
      </c>
      <c r="J102" s="1">
        <v>1.5</v>
      </c>
      <c r="K102" s="34">
        <f t="shared" si="24"/>
        <v>1.2558490566037736E-2</v>
      </c>
      <c r="L102" s="34">
        <f t="shared" si="29"/>
        <v>0.24702550943396229</v>
      </c>
      <c r="M102" s="34">
        <f t="shared" si="30"/>
        <v>2.117447849056604</v>
      </c>
      <c r="N102" s="34">
        <f t="shared" si="28"/>
        <v>8.4267471698113244E-2</v>
      </c>
      <c r="O102" s="35">
        <f t="shared" si="31"/>
        <v>-1.7073660377358482</v>
      </c>
    </row>
    <row r="103" spans="1:15" x14ac:dyDescent="0.2">
      <c r="A103" s="32">
        <v>23.75</v>
      </c>
      <c r="B103" s="1">
        <f t="shared" si="25"/>
        <v>0.125</v>
      </c>
      <c r="C103" s="1">
        <f t="shared" si="26"/>
        <v>0.75</v>
      </c>
      <c r="D103" s="33">
        <f t="shared" si="32"/>
        <v>1.220703125E-4</v>
      </c>
      <c r="E103" s="33">
        <f t="shared" si="27"/>
        <v>1.953125E-3</v>
      </c>
      <c r="F103" s="33">
        <f t="shared" si="20"/>
        <v>-1.3</v>
      </c>
      <c r="G103" s="1">
        <f t="shared" si="21"/>
        <v>15.924999999999999</v>
      </c>
      <c r="H103" s="1">
        <f t="shared" si="22"/>
        <v>8153.5999999999995</v>
      </c>
      <c r="I103" s="1">
        <f t="shared" si="23"/>
        <v>4.5378728414442699</v>
      </c>
      <c r="J103" s="1">
        <v>1.5</v>
      </c>
      <c r="K103" s="34">
        <f t="shared" si="24"/>
        <v>1.230732075471698E-2</v>
      </c>
      <c r="L103" s="34">
        <f t="shared" si="29"/>
        <v>0.25013373584905663</v>
      </c>
      <c r="M103" s="34">
        <f t="shared" si="30"/>
        <v>2.1795927547169813</v>
      </c>
      <c r="N103" s="34">
        <f t="shared" si="28"/>
        <v>8.7375698113207584E-2</v>
      </c>
      <c r="O103" s="35">
        <f t="shared" si="31"/>
        <v>-1.6859106415094331</v>
      </c>
    </row>
    <row r="104" spans="1:15" x14ac:dyDescent="0.2">
      <c r="A104" s="32">
        <v>24</v>
      </c>
      <c r="B104" s="1">
        <f t="shared" si="25"/>
        <v>0.125</v>
      </c>
      <c r="C104" s="1">
        <f t="shared" si="26"/>
        <v>0.75</v>
      </c>
      <c r="D104" s="33">
        <f t="shared" si="32"/>
        <v>1.220703125E-4</v>
      </c>
      <c r="E104" s="33">
        <f t="shared" si="27"/>
        <v>1.953125E-3</v>
      </c>
      <c r="F104" s="33">
        <f t="shared" ref="F104:F135" si="33">0.5*$F$2-$F$2*GESTEP(A104,18)+0.5*$F$2*GESTEP(A104,36)</f>
        <v>-1.3</v>
      </c>
      <c r="G104" s="1">
        <f t="shared" ref="G104:G135" si="34">0.5*$F$2*A104-$F$2*MAX(0,A104-18)</f>
        <v>15.600000000000001</v>
      </c>
      <c r="H104" s="1">
        <f t="shared" ref="H104:H135" si="35">ABS(G104*(B104/2)/D104)</f>
        <v>7987.2000000000007</v>
      </c>
      <c r="I104" s="1">
        <f t="shared" ref="I104:I135" si="36">$B$2/H104</f>
        <v>4.6324118589743586</v>
      </c>
      <c r="J104" s="1">
        <v>1.5</v>
      </c>
      <c r="K104" s="34">
        <f t="shared" ref="K104:K135" si="37">G104/($B$3*D104)</f>
        <v>1.2056150943396227E-2</v>
      </c>
      <c r="L104" s="34">
        <f t="shared" si="29"/>
        <v>0.25317916981132077</v>
      </c>
      <c r="M104" s="34">
        <f t="shared" si="30"/>
        <v>2.2425068679245284</v>
      </c>
      <c r="N104" s="34">
        <f t="shared" si="28"/>
        <v>9.0421132075471727E-2</v>
      </c>
      <c r="O104" s="35">
        <f t="shared" si="31"/>
        <v>-1.6636860377358482</v>
      </c>
    </row>
    <row r="105" spans="1:15" x14ac:dyDescent="0.2">
      <c r="A105" s="32">
        <v>24.25</v>
      </c>
      <c r="B105" s="1">
        <f t="shared" si="25"/>
        <v>0.125</v>
      </c>
      <c r="C105" s="1">
        <f t="shared" si="26"/>
        <v>0.75</v>
      </c>
      <c r="D105" s="33">
        <f t="shared" si="32"/>
        <v>1.220703125E-4</v>
      </c>
      <c r="E105" s="33">
        <f t="shared" si="27"/>
        <v>1.953125E-3</v>
      </c>
      <c r="F105" s="33">
        <f t="shared" si="33"/>
        <v>-1.3</v>
      </c>
      <c r="G105" s="1">
        <f t="shared" si="34"/>
        <v>15.275000000000002</v>
      </c>
      <c r="H105" s="1">
        <f t="shared" si="35"/>
        <v>7820.8000000000011</v>
      </c>
      <c r="I105" s="1">
        <f t="shared" si="36"/>
        <v>4.7309738134206212</v>
      </c>
      <c r="J105" s="1">
        <v>1.5</v>
      </c>
      <c r="K105" s="34">
        <f t="shared" si="37"/>
        <v>1.1804981132075473E-2</v>
      </c>
      <c r="L105" s="34">
        <f t="shared" si="29"/>
        <v>0.25616181132075472</v>
      </c>
      <c r="M105" s="34">
        <f t="shared" si="30"/>
        <v>2.306174490566038</v>
      </c>
      <c r="N105" s="34">
        <f t="shared" si="28"/>
        <v>9.3403773584905675E-2</v>
      </c>
      <c r="O105" s="35">
        <f t="shared" si="31"/>
        <v>-1.6407079245283009</v>
      </c>
    </row>
    <row r="106" spans="1:15" x14ac:dyDescent="0.2">
      <c r="A106" s="32">
        <v>24.5</v>
      </c>
      <c r="B106" s="1">
        <f t="shared" si="25"/>
        <v>0.125</v>
      </c>
      <c r="C106" s="1">
        <f t="shared" si="26"/>
        <v>0.75</v>
      </c>
      <c r="D106" s="33">
        <f t="shared" si="32"/>
        <v>1.220703125E-4</v>
      </c>
      <c r="E106" s="33">
        <f t="shared" si="27"/>
        <v>1.953125E-3</v>
      </c>
      <c r="F106" s="33">
        <f t="shared" si="33"/>
        <v>-1.3</v>
      </c>
      <c r="G106" s="1">
        <f t="shared" si="34"/>
        <v>14.95</v>
      </c>
      <c r="H106" s="1">
        <f t="shared" si="35"/>
        <v>7654.4</v>
      </c>
      <c r="I106" s="1">
        <f t="shared" si="36"/>
        <v>4.833821070234114</v>
      </c>
      <c r="J106" s="1">
        <v>1.5</v>
      </c>
      <c r="K106" s="34">
        <f t="shared" si="37"/>
        <v>1.1553811320754717E-2</v>
      </c>
      <c r="L106" s="34">
        <f t="shared" si="29"/>
        <v>0.25908166037735847</v>
      </c>
      <c r="M106" s="34">
        <f t="shared" si="30"/>
        <v>2.3705799245283021</v>
      </c>
      <c r="N106" s="34">
        <f t="shared" si="28"/>
        <v>9.6323622641509427E-2</v>
      </c>
      <c r="O106" s="35">
        <f t="shared" si="31"/>
        <v>-1.6169919999999991</v>
      </c>
    </row>
    <row r="107" spans="1:15" x14ac:dyDescent="0.2">
      <c r="A107" s="32">
        <v>24.75</v>
      </c>
      <c r="B107" s="1">
        <f t="shared" si="25"/>
        <v>0.125</v>
      </c>
      <c r="C107" s="1">
        <f t="shared" si="26"/>
        <v>0.75</v>
      </c>
      <c r="D107" s="33">
        <f t="shared" si="32"/>
        <v>1.220703125E-4</v>
      </c>
      <c r="E107" s="33">
        <f t="shared" si="27"/>
        <v>1.953125E-3</v>
      </c>
      <c r="F107" s="33">
        <f t="shared" si="33"/>
        <v>-1.3</v>
      </c>
      <c r="G107" s="1">
        <f t="shared" si="34"/>
        <v>14.625000000000004</v>
      </c>
      <c r="H107" s="1">
        <f t="shared" si="35"/>
        <v>7488.0000000000018</v>
      </c>
      <c r="I107" s="1">
        <f t="shared" si="36"/>
        <v>4.9412393162393151</v>
      </c>
      <c r="J107" s="1">
        <v>1.5</v>
      </c>
      <c r="K107" s="34">
        <f t="shared" si="37"/>
        <v>1.1302641509433964E-2</v>
      </c>
      <c r="L107" s="34">
        <f t="shared" si="29"/>
        <v>0.26193871698113208</v>
      </c>
      <c r="M107" s="34">
        <f t="shared" si="30"/>
        <v>2.4357074716981133</v>
      </c>
      <c r="N107" s="34">
        <f t="shared" si="28"/>
        <v>9.9180679245283038E-2</v>
      </c>
      <c r="O107" s="35">
        <f t="shared" si="31"/>
        <v>-1.59255396226415</v>
      </c>
    </row>
    <row r="108" spans="1:15" x14ac:dyDescent="0.2">
      <c r="A108" s="32">
        <v>25</v>
      </c>
      <c r="B108" s="1">
        <f t="shared" si="25"/>
        <v>0.125</v>
      </c>
      <c r="C108" s="1">
        <f t="shared" si="26"/>
        <v>0.75</v>
      </c>
      <c r="D108" s="33">
        <f t="shared" si="32"/>
        <v>1.220703125E-4</v>
      </c>
      <c r="E108" s="33">
        <f t="shared" si="27"/>
        <v>1.953125E-3</v>
      </c>
      <c r="F108" s="33">
        <f t="shared" si="33"/>
        <v>-1.3</v>
      </c>
      <c r="G108" s="1">
        <f t="shared" si="34"/>
        <v>14.3</v>
      </c>
      <c r="H108" s="1">
        <f t="shared" si="35"/>
        <v>7321.6</v>
      </c>
      <c r="I108" s="1">
        <f t="shared" si="36"/>
        <v>5.0535402097902091</v>
      </c>
      <c r="J108" s="1">
        <v>1.5</v>
      </c>
      <c r="K108" s="34">
        <f t="shared" si="37"/>
        <v>1.1051471698113208E-2</v>
      </c>
      <c r="L108" s="34">
        <f t="shared" si="29"/>
        <v>0.2647329811320755</v>
      </c>
      <c r="M108" s="34">
        <f t="shared" si="30"/>
        <v>2.5015414339622644</v>
      </c>
      <c r="N108" s="34">
        <f t="shared" si="28"/>
        <v>0.10197494339622645</v>
      </c>
      <c r="O108" s="35">
        <f t="shared" si="31"/>
        <v>-1.5674095094339613</v>
      </c>
    </row>
    <row r="109" spans="1:15" x14ac:dyDescent="0.2">
      <c r="A109" s="32">
        <v>25.25</v>
      </c>
      <c r="B109" s="1">
        <f t="shared" si="25"/>
        <v>0.125</v>
      </c>
      <c r="C109" s="1">
        <f t="shared" si="26"/>
        <v>0.75</v>
      </c>
      <c r="D109" s="33">
        <f t="shared" si="32"/>
        <v>1.220703125E-4</v>
      </c>
      <c r="E109" s="33">
        <f t="shared" si="27"/>
        <v>1.953125E-3</v>
      </c>
      <c r="F109" s="33">
        <f t="shared" si="33"/>
        <v>-1.3</v>
      </c>
      <c r="G109" s="1">
        <f t="shared" si="34"/>
        <v>13.975000000000001</v>
      </c>
      <c r="H109" s="1">
        <f t="shared" si="35"/>
        <v>7155.2000000000007</v>
      </c>
      <c r="I109" s="1">
        <f t="shared" si="36"/>
        <v>5.1710644007155633</v>
      </c>
      <c r="J109" s="1">
        <v>1.5</v>
      </c>
      <c r="K109" s="34">
        <f t="shared" si="37"/>
        <v>1.0800301886792454E-2</v>
      </c>
      <c r="L109" s="34">
        <f t="shared" si="29"/>
        <v>0.26746445283018871</v>
      </c>
      <c r="M109" s="34">
        <f t="shared" si="30"/>
        <v>2.5680661132075473</v>
      </c>
      <c r="N109" s="34">
        <f t="shared" si="28"/>
        <v>0.10470641509433967</v>
      </c>
      <c r="O109" s="35">
        <f t="shared" si="31"/>
        <v>-1.5415743396226405</v>
      </c>
    </row>
    <row r="110" spans="1:15" x14ac:dyDescent="0.2">
      <c r="A110" s="32">
        <v>25.5</v>
      </c>
      <c r="B110" s="1">
        <f t="shared" si="25"/>
        <v>0.125</v>
      </c>
      <c r="C110" s="1">
        <f t="shared" si="26"/>
        <v>0.75</v>
      </c>
      <c r="D110" s="33">
        <f t="shared" si="32"/>
        <v>1.220703125E-4</v>
      </c>
      <c r="E110" s="33">
        <f t="shared" si="27"/>
        <v>1.953125E-3</v>
      </c>
      <c r="F110" s="33">
        <f t="shared" si="33"/>
        <v>-1.3</v>
      </c>
      <c r="G110" s="1">
        <f t="shared" si="34"/>
        <v>13.649999999999999</v>
      </c>
      <c r="H110" s="1">
        <f t="shared" si="35"/>
        <v>6988.7999999999993</v>
      </c>
      <c r="I110" s="1">
        <f t="shared" si="36"/>
        <v>5.2941849816849826</v>
      </c>
      <c r="J110" s="1">
        <v>1.5</v>
      </c>
      <c r="K110" s="34">
        <f t="shared" si="37"/>
        <v>1.0549132075471698E-2</v>
      </c>
      <c r="L110" s="34">
        <f t="shared" si="29"/>
        <v>0.27013313207547174</v>
      </c>
      <c r="M110" s="34">
        <f t="shared" si="30"/>
        <v>2.635265811320755</v>
      </c>
      <c r="N110" s="34">
        <f t="shared" si="28"/>
        <v>0.1073750943396227</v>
      </c>
      <c r="O110" s="35">
        <f t="shared" si="31"/>
        <v>-1.5150641509433951</v>
      </c>
    </row>
    <row r="111" spans="1:15" x14ac:dyDescent="0.2">
      <c r="A111" s="32">
        <v>25.75</v>
      </c>
      <c r="B111" s="1">
        <f t="shared" si="25"/>
        <v>0.125</v>
      </c>
      <c r="C111" s="1">
        <f t="shared" si="26"/>
        <v>0.75</v>
      </c>
      <c r="D111" s="33">
        <f t="shared" si="32"/>
        <v>1.220703125E-4</v>
      </c>
      <c r="E111" s="33">
        <f t="shared" si="27"/>
        <v>1.953125E-3</v>
      </c>
      <c r="F111" s="33">
        <f t="shared" si="33"/>
        <v>-1.3</v>
      </c>
      <c r="G111" s="1">
        <f t="shared" si="34"/>
        <v>13.324999999999999</v>
      </c>
      <c r="H111" s="1">
        <f t="shared" si="35"/>
        <v>6822.4</v>
      </c>
      <c r="I111" s="1">
        <f t="shared" si="36"/>
        <v>5.4233114446529083</v>
      </c>
      <c r="J111" s="1">
        <v>1.5</v>
      </c>
      <c r="K111" s="34">
        <f t="shared" si="37"/>
        <v>1.0297962264150943E-2</v>
      </c>
      <c r="L111" s="34">
        <f t="shared" si="29"/>
        <v>0.27273901886792457</v>
      </c>
      <c r="M111" s="34">
        <f t="shared" si="30"/>
        <v>2.7031248301886794</v>
      </c>
      <c r="N111" s="34">
        <f t="shared" si="28"/>
        <v>0.10998098113207552</v>
      </c>
      <c r="O111" s="35">
        <f t="shared" si="31"/>
        <v>-1.4878946415094327</v>
      </c>
    </row>
    <row r="112" spans="1:15" x14ac:dyDescent="0.2">
      <c r="A112" s="32">
        <v>26</v>
      </c>
      <c r="B112" s="1">
        <f t="shared" si="25"/>
        <v>0.125</v>
      </c>
      <c r="C112" s="1">
        <f t="shared" si="26"/>
        <v>0.75</v>
      </c>
      <c r="D112" s="33">
        <f t="shared" si="32"/>
        <v>1.220703125E-4</v>
      </c>
      <c r="E112" s="33">
        <f t="shared" si="27"/>
        <v>1.953125E-3</v>
      </c>
      <c r="F112" s="33">
        <f t="shared" si="33"/>
        <v>-1.3</v>
      </c>
      <c r="G112" s="1">
        <f t="shared" si="34"/>
        <v>13.000000000000004</v>
      </c>
      <c r="H112" s="1">
        <f t="shared" si="35"/>
        <v>6656.0000000000018</v>
      </c>
      <c r="I112" s="1">
        <f t="shared" si="36"/>
        <v>5.5588942307692291</v>
      </c>
      <c r="J112" s="1">
        <v>1.5</v>
      </c>
      <c r="K112" s="34">
        <f t="shared" si="37"/>
        <v>1.0046792452830191E-2</v>
      </c>
      <c r="L112" s="34">
        <f t="shared" si="29"/>
        <v>0.2752821132075472</v>
      </c>
      <c r="M112" s="34">
        <f t="shared" si="30"/>
        <v>2.7716274716981135</v>
      </c>
      <c r="N112" s="34">
        <f t="shared" si="28"/>
        <v>0.11252407547169815</v>
      </c>
      <c r="O112" s="35">
        <f t="shared" si="31"/>
        <v>-1.460081509433961</v>
      </c>
    </row>
    <row r="113" spans="1:15" x14ac:dyDescent="0.2">
      <c r="A113" s="32">
        <v>26.25</v>
      </c>
      <c r="B113" s="1">
        <f t="shared" si="25"/>
        <v>0.125</v>
      </c>
      <c r="C113" s="1">
        <f t="shared" si="26"/>
        <v>0.75</v>
      </c>
      <c r="D113" s="33">
        <f t="shared" si="32"/>
        <v>1.220703125E-4</v>
      </c>
      <c r="E113" s="33">
        <f t="shared" si="27"/>
        <v>1.953125E-3</v>
      </c>
      <c r="F113" s="33">
        <f t="shared" si="33"/>
        <v>-1.3</v>
      </c>
      <c r="G113" s="1">
        <f t="shared" si="34"/>
        <v>12.675000000000001</v>
      </c>
      <c r="H113" s="1">
        <f t="shared" si="35"/>
        <v>6489.6</v>
      </c>
      <c r="I113" s="1">
        <f t="shared" si="36"/>
        <v>5.7014299802761341</v>
      </c>
      <c r="J113" s="1">
        <v>1.5</v>
      </c>
      <c r="K113" s="34">
        <f t="shared" si="37"/>
        <v>9.7956226415094345E-3</v>
      </c>
      <c r="L113" s="34">
        <f t="shared" si="29"/>
        <v>0.27776241509433963</v>
      </c>
      <c r="M113" s="34">
        <f t="shared" si="30"/>
        <v>2.8407580377358492</v>
      </c>
      <c r="N113" s="34">
        <f t="shared" si="28"/>
        <v>0.11500437735849059</v>
      </c>
      <c r="O113" s="35">
        <f t="shared" si="31"/>
        <v>-1.4316404528301874</v>
      </c>
    </row>
    <row r="114" spans="1:15" x14ac:dyDescent="0.2">
      <c r="A114" s="32">
        <v>26.5</v>
      </c>
      <c r="B114" s="1">
        <f t="shared" si="25"/>
        <v>0.125</v>
      </c>
      <c r="C114" s="1">
        <f t="shared" si="26"/>
        <v>0.75</v>
      </c>
      <c r="D114" s="33">
        <f t="shared" si="32"/>
        <v>1.220703125E-4</v>
      </c>
      <c r="E114" s="33">
        <f t="shared" si="27"/>
        <v>1.953125E-3</v>
      </c>
      <c r="F114" s="33">
        <f t="shared" si="33"/>
        <v>-1.3</v>
      </c>
      <c r="G114" s="1">
        <f t="shared" si="34"/>
        <v>12.350000000000001</v>
      </c>
      <c r="H114" s="1">
        <f t="shared" si="35"/>
        <v>6323.2000000000007</v>
      </c>
      <c r="I114" s="1">
        <f t="shared" si="36"/>
        <v>5.851467611336032</v>
      </c>
      <c r="J114" s="1">
        <v>1.5</v>
      </c>
      <c r="K114" s="34">
        <f t="shared" si="37"/>
        <v>9.5444528301886801E-3</v>
      </c>
      <c r="L114" s="34">
        <f t="shared" si="29"/>
        <v>0.28017992452830187</v>
      </c>
      <c r="M114" s="34">
        <f t="shared" si="30"/>
        <v>2.9105008301886794</v>
      </c>
      <c r="N114" s="34">
        <f t="shared" si="28"/>
        <v>0.11742188679245283</v>
      </c>
      <c r="O114" s="35">
        <f t="shared" si="31"/>
        <v>-1.4025871698113195</v>
      </c>
    </row>
    <row r="115" spans="1:15" x14ac:dyDescent="0.2">
      <c r="A115" s="32">
        <v>26.75</v>
      </c>
      <c r="B115" s="1">
        <f t="shared" si="25"/>
        <v>0.125</v>
      </c>
      <c r="C115" s="1">
        <f t="shared" si="26"/>
        <v>0.75</v>
      </c>
      <c r="D115" s="33">
        <f t="shared" si="32"/>
        <v>1.220703125E-4</v>
      </c>
      <c r="E115" s="33">
        <f t="shared" si="27"/>
        <v>1.953125E-3</v>
      </c>
      <c r="F115" s="33">
        <f t="shared" si="33"/>
        <v>-1.3</v>
      </c>
      <c r="G115" s="1">
        <f t="shared" si="34"/>
        <v>12.024999999999999</v>
      </c>
      <c r="H115" s="1">
        <f t="shared" si="35"/>
        <v>6156.7999999999993</v>
      </c>
      <c r="I115" s="1">
        <f t="shared" si="36"/>
        <v>6.009615384615385</v>
      </c>
      <c r="J115" s="1">
        <v>1.5</v>
      </c>
      <c r="K115" s="34">
        <f t="shared" si="37"/>
        <v>9.293283018867924E-3</v>
      </c>
      <c r="L115" s="34">
        <f t="shared" si="29"/>
        <v>0.28253464150943397</v>
      </c>
      <c r="M115" s="34">
        <f t="shared" si="30"/>
        <v>2.9808401509433966</v>
      </c>
      <c r="N115" s="34">
        <f t="shared" si="28"/>
        <v>0.11977660377358493</v>
      </c>
      <c r="O115" s="35">
        <f t="shared" si="31"/>
        <v>-1.3729373584905649</v>
      </c>
    </row>
    <row r="116" spans="1:15" x14ac:dyDescent="0.2">
      <c r="A116" s="32">
        <v>27</v>
      </c>
      <c r="B116" s="1">
        <f t="shared" si="25"/>
        <v>0.125</v>
      </c>
      <c r="C116" s="1">
        <f t="shared" si="26"/>
        <v>0.75</v>
      </c>
      <c r="D116" s="33">
        <f>1/12*C116*B116^3</f>
        <v>1.220703125E-4</v>
      </c>
      <c r="E116" s="33">
        <f t="shared" si="27"/>
        <v>1.953125E-3</v>
      </c>
      <c r="F116" s="33">
        <f t="shared" si="33"/>
        <v>-1.3</v>
      </c>
      <c r="G116" s="1">
        <f t="shared" si="34"/>
        <v>11.7</v>
      </c>
      <c r="H116" s="1">
        <f t="shared" si="35"/>
        <v>5990.4</v>
      </c>
      <c r="I116" s="1">
        <f t="shared" si="36"/>
        <v>6.1765491452991457</v>
      </c>
      <c r="J116" s="1">
        <v>1.5</v>
      </c>
      <c r="K116" s="34">
        <f t="shared" si="37"/>
        <v>9.0421132075471696E-3</v>
      </c>
      <c r="L116" s="34">
        <f t="shared" si="29"/>
        <v>0.28482656603773587</v>
      </c>
      <c r="M116" s="34">
        <f t="shared" si="30"/>
        <v>3.0517603018867927</v>
      </c>
      <c r="N116" s="34">
        <f t="shared" si="28"/>
        <v>0.12206852830188683</v>
      </c>
      <c r="O116" s="35">
        <f t="shared" si="31"/>
        <v>-1.3427067169811309</v>
      </c>
    </row>
    <row r="117" spans="1:15" x14ac:dyDescent="0.2">
      <c r="A117" s="32">
        <v>27.25</v>
      </c>
      <c r="B117" s="1">
        <f t="shared" si="25"/>
        <v>0.125</v>
      </c>
      <c r="C117" s="1">
        <f t="shared" si="26"/>
        <v>0.75</v>
      </c>
      <c r="D117" s="33">
        <f>1/12*C117*B117^3</f>
        <v>1.220703125E-4</v>
      </c>
      <c r="E117" s="33">
        <f t="shared" si="27"/>
        <v>1.953125E-3</v>
      </c>
      <c r="F117" s="33">
        <f t="shared" si="33"/>
        <v>-1.3</v>
      </c>
      <c r="G117" s="1">
        <f t="shared" si="34"/>
        <v>11.375000000000004</v>
      </c>
      <c r="H117" s="1">
        <f t="shared" si="35"/>
        <v>5824.0000000000018</v>
      </c>
      <c r="I117" s="1">
        <f t="shared" si="36"/>
        <v>6.3530219780219763</v>
      </c>
      <c r="J117" s="1">
        <v>1.5</v>
      </c>
      <c r="K117" s="34">
        <f t="shared" si="37"/>
        <v>8.790943396226417E-3</v>
      </c>
      <c r="L117" s="34">
        <f t="shared" si="29"/>
        <v>0.28705569811320758</v>
      </c>
      <c r="M117" s="34">
        <f t="shared" si="30"/>
        <v>3.1232455849056606</v>
      </c>
      <c r="N117" s="34">
        <f t="shared" si="28"/>
        <v>0.12429766037735854</v>
      </c>
      <c r="O117" s="35">
        <f t="shared" si="31"/>
        <v>-1.3119109433962253</v>
      </c>
    </row>
    <row r="118" spans="1:15" x14ac:dyDescent="0.2">
      <c r="A118" s="32">
        <v>27.5</v>
      </c>
      <c r="B118" s="1">
        <f t="shared" si="25"/>
        <v>0.125</v>
      </c>
      <c r="C118" s="1">
        <f t="shared" si="26"/>
        <v>0.75</v>
      </c>
      <c r="D118" s="33">
        <f t="shared" ref="D118:D134" si="38">1/12*C118*B118^3</f>
        <v>1.220703125E-4</v>
      </c>
      <c r="E118" s="33">
        <f t="shared" si="27"/>
        <v>1.953125E-3</v>
      </c>
      <c r="F118" s="33">
        <f t="shared" si="33"/>
        <v>-1.3</v>
      </c>
      <c r="G118" s="1">
        <f t="shared" si="34"/>
        <v>11.05</v>
      </c>
      <c r="H118" s="1">
        <f t="shared" si="35"/>
        <v>5657.6</v>
      </c>
      <c r="I118" s="1">
        <f t="shared" si="36"/>
        <v>6.5398755656108589</v>
      </c>
      <c r="J118" s="1">
        <v>1.5</v>
      </c>
      <c r="K118" s="34">
        <f t="shared" si="37"/>
        <v>8.5397735849056609E-3</v>
      </c>
      <c r="L118" s="34">
        <f t="shared" si="29"/>
        <v>0.28922203773584909</v>
      </c>
      <c r="M118" s="34">
        <f t="shared" si="30"/>
        <v>3.1952803018867928</v>
      </c>
      <c r="N118" s="34">
        <f t="shared" si="28"/>
        <v>0.12646400000000005</v>
      </c>
      <c r="O118" s="35">
        <f t="shared" si="31"/>
        <v>-1.2805657358490554</v>
      </c>
    </row>
    <row r="119" spans="1:15" x14ac:dyDescent="0.2">
      <c r="A119" s="32">
        <v>27.75</v>
      </c>
      <c r="B119" s="1">
        <f t="shared" si="25"/>
        <v>0.125</v>
      </c>
      <c r="C119" s="1">
        <f t="shared" si="26"/>
        <v>0.75</v>
      </c>
      <c r="D119" s="33">
        <f t="shared" si="38"/>
        <v>1.220703125E-4</v>
      </c>
      <c r="E119" s="33">
        <f t="shared" si="27"/>
        <v>1.953125E-3</v>
      </c>
      <c r="F119" s="33">
        <f t="shared" si="33"/>
        <v>-1.3</v>
      </c>
      <c r="G119" s="1">
        <f t="shared" si="34"/>
        <v>10.725000000000001</v>
      </c>
      <c r="H119" s="1">
        <f t="shared" si="35"/>
        <v>5491.2000000000007</v>
      </c>
      <c r="I119" s="1">
        <f t="shared" si="36"/>
        <v>6.7380536130536122</v>
      </c>
      <c r="J119" s="1">
        <v>1.5</v>
      </c>
      <c r="K119" s="34">
        <f t="shared" si="37"/>
        <v>8.2886037735849065E-3</v>
      </c>
      <c r="L119" s="34">
        <f t="shared" si="29"/>
        <v>0.29132558490566041</v>
      </c>
      <c r="M119" s="34">
        <f t="shared" si="30"/>
        <v>3.2678487547169817</v>
      </c>
      <c r="N119" s="34">
        <f t="shared" si="28"/>
        <v>0.12856754716981136</v>
      </c>
      <c r="O119" s="35">
        <f t="shared" si="31"/>
        <v>-1.2486867924528291</v>
      </c>
    </row>
    <row r="120" spans="1:15" x14ac:dyDescent="0.2">
      <c r="A120" s="32">
        <v>28</v>
      </c>
      <c r="B120" s="1">
        <f t="shared" si="25"/>
        <v>0.125</v>
      </c>
      <c r="C120" s="1">
        <f t="shared" si="26"/>
        <v>0.75</v>
      </c>
      <c r="D120" s="33">
        <f t="shared" si="38"/>
        <v>1.220703125E-4</v>
      </c>
      <c r="E120" s="33">
        <f t="shared" si="27"/>
        <v>1.953125E-3</v>
      </c>
      <c r="F120" s="33">
        <f t="shared" si="33"/>
        <v>-1.3</v>
      </c>
      <c r="G120" s="1">
        <f t="shared" si="34"/>
        <v>10.399999999999999</v>
      </c>
      <c r="H120" s="1">
        <f t="shared" si="35"/>
        <v>5324.7999999999993</v>
      </c>
      <c r="I120" s="1">
        <f t="shared" si="36"/>
        <v>6.9486177884615392</v>
      </c>
      <c r="J120" s="1">
        <v>1.5</v>
      </c>
      <c r="K120" s="34">
        <f t="shared" si="37"/>
        <v>8.0374339622641504E-3</v>
      </c>
      <c r="L120" s="34">
        <f t="shared" si="29"/>
        <v>0.29336633962264153</v>
      </c>
      <c r="M120" s="34">
        <f t="shared" si="30"/>
        <v>3.3409352452830192</v>
      </c>
      <c r="N120" s="34">
        <f t="shared" si="28"/>
        <v>0.13060830188679248</v>
      </c>
      <c r="O120" s="35">
        <f t="shared" si="31"/>
        <v>-1.2162898113207536</v>
      </c>
    </row>
    <row r="121" spans="1:15" x14ac:dyDescent="0.2">
      <c r="A121" s="32">
        <v>28.25</v>
      </c>
      <c r="B121" s="1">
        <f t="shared" si="25"/>
        <v>0.125</v>
      </c>
      <c r="C121" s="1">
        <f t="shared" si="26"/>
        <v>0.75</v>
      </c>
      <c r="D121" s="33">
        <f t="shared" si="38"/>
        <v>1.220703125E-4</v>
      </c>
      <c r="E121" s="33">
        <f t="shared" si="27"/>
        <v>1.953125E-3</v>
      </c>
      <c r="F121" s="33">
        <f t="shared" si="33"/>
        <v>-1.3</v>
      </c>
      <c r="G121" s="1">
        <f t="shared" si="34"/>
        <v>10.074999999999999</v>
      </c>
      <c r="H121" s="1">
        <f t="shared" si="35"/>
        <v>5158.3999999999996</v>
      </c>
      <c r="I121" s="1">
        <f t="shared" si="36"/>
        <v>7.1727667493796528</v>
      </c>
      <c r="J121" s="1">
        <v>1.5</v>
      </c>
      <c r="K121" s="34">
        <f t="shared" si="37"/>
        <v>7.786264150943396E-3</v>
      </c>
      <c r="L121" s="34">
        <f t="shared" si="29"/>
        <v>0.29534430188679245</v>
      </c>
      <c r="M121" s="34">
        <f t="shared" si="30"/>
        <v>3.4145240754716983</v>
      </c>
      <c r="N121" s="34">
        <f t="shared" si="28"/>
        <v>0.13258626415094341</v>
      </c>
      <c r="O121" s="35">
        <f t="shared" si="31"/>
        <v>-1.1833904905660366</v>
      </c>
    </row>
    <row r="122" spans="1:15" x14ac:dyDescent="0.2">
      <c r="A122" s="32">
        <v>28.5</v>
      </c>
      <c r="B122" s="1">
        <f t="shared" si="25"/>
        <v>0.125</v>
      </c>
      <c r="C122" s="1">
        <f t="shared" si="26"/>
        <v>0.75</v>
      </c>
      <c r="D122" s="33">
        <f t="shared" si="38"/>
        <v>1.220703125E-4</v>
      </c>
      <c r="E122" s="33">
        <f t="shared" si="27"/>
        <v>1.953125E-3</v>
      </c>
      <c r="F122" s="33">
        <f t="shared" si="33"/>
        <v>-1.3</v>
      </c>
      <c r="G122" s="1">
        <f t="shared" si="34"/>
        <v>9.7500000000000036</v>
      </c>
      <c r="H122" s="1">
        <f t="shared" si="35"/>
        <v>4992.0000000000018</v>
      </c>
      <c r="I122" s="1">
        <f t="shared" si="36"/>
        <v>7.4118589743589718</v>
      </c>
      <c r="J122" s="1">
        <v>1.5</v>
      </c>
      <c r="K122" s="34">
        <f t="shared" si="37"/>
        <v>7.5350943396226442E-3</v>
      </c>
      <c r="L122" s="34">
        <f t="shared" si="29"/>
        <v>0.29725947169811318</v>
      </c>
      <c r="M122" s="34">
        <f t="shared" si="30"/>
        <v>3.4885995471698115</v>
      </c>
      <c r="N122" s="34">
        <f t="shared" si="28"/>
        <v>0.13450143396226413</v>
      </c>
      <c r="O122" s="35">
        <f t="shared" si="31"/>
        <v>-1.1500045283018856</v>
      </c>
    </row>
    <row r="123" spans="1:15" x14ac:dyDescent="0.2">
      <c r="A123" s="32">
        <v>28.75</v>
      </c>
      <c r="B123" s="1">
        <f t="shared" si="25"/>
        <v>0.125</v>
      </c>
      <c r="C123" s="1">
        <f t="shared" si="26"/>
        <v>0.75</v>
      </c>
      <c r="D123" s="33">
        <f t="shared" si="38"/>
        <v>1.220703125E-4</v>
      </c>
      <c r="E123" s="33">
        <f t="shared" si="27"/>
        <v>1.953125E-3</v>
      </c>
      <c r="F123" s="33">
        <f t="shared" si="33"/>
        <v>-1.3</v>
      </c>
      <c r="G123" s="1">
        <f t="shared" si="34"/>
        <v>9.4250000000000007</v>
      </c>
      <c r="H123" s="1">
        <f t="shared" si="35"/>
        <v>4825.6000000000004</v>
      </c>
      <c r="I123" s="1">
        <f t="shared" si="36"/>
        <v>7.6674403183023863</v>
      </c>
      <c r="J123" s="1">
        <v>1.5</v>
      </c>
      <c r="K123" s="34">
        <f t="shared" si="37"/>
        <v>7.2839245283018873E-3</v>
      </c>
      <c r="L123" s="34">
        <f t="shared" si="29"/>
        <v>0.29911184905660376</v>
      </c>
      <c r="M123" s="34">
        <f t="shared" si="30"/>
        <v>3.563145962264151</v>
      </c>
      <c r="N123" s="34">
        <f t="shared" si="28"/>
        <v>0.13635381132075472</v>
      </c>
      <c r="O123" s="35">
        <f t="shared" si="31"/>
        <v>-1.1161476226415084</v>
      </c>
    </row>
    <row r="124" spans="1:15" x14ac:dyDescent="0.2">
      <c r="A124" s="32">
        <v>29</v>
      </c>
      <c r="B124" s="1">
        <f t="shared" si="25"/>
        <v>0.125</v>
      </c>
      <c r="C124" s="1">
        <f t="shared" si="26"/>
        <v>0.75</v>
      </c>
      <c r="D124" s="33">
        <f t="shared" si="38"/>
        <v>1.220703125E-4</v>
      </c>
      <c r="E124" s="33">
        <f t="shared" si="27"/>
        <v>1.953125E-3</v>
      </c>
      <c r="F124" s="33">
        <f t="shared" si="33"/>
        <v>-1.3</v>
      </c>
      <c r="G124" s="1">
        <f t="shared" si="34"/>
        <v>9.1000000000000014</v>
      </c>
      <c r="H124" s="1">
        <f t="shared" si="35"/>
        <v>4659.2000000000007</v>
      </c>
      <c r="I124" s="1">
        <f t="shared" si="36"/>
        <v>7.9412774725274708</v>
      </c>
      <c r="J124" s="1">
        <v>1.5</v>
      </c>
      <c r="K124" s="34">
        <f t="shared" si="37"/>
        <v>7.0327547169811329E-3</v>
      </c>
      <c r="L124" s="34">
        <f t="shared" si="29"/>
        <v>0.30090143396226415</v>
      </c>
      <c r="M124" s="34">
        <f t="shared" si="30"/>
        <v>3.6381476226415095</v>
      </c>
      <c r="N124" s="34">
        <f t="shared" si="28"/>
        <v>0.13814339622641511</v>
      </c>
      <c r="O124" s="35">
        <f t="shared" si="31"/>
        <v>-1.0818354716981122</v>
      </c>
    </row>
    <row r="125" spans="1:15" x14ac:dyDescent="0.2">
      <c r="A125" s="32">
        <v>29.25</v>
      </c>
      <c r="B125" s="1">
        <f t="shared" si="25"/>
        <v>0.125</v>
      </c>
      <c r="C125" s="1">
        <f t="shared" si="26"/>
        <v>0.75</v>
      </c>
      <c r="D125" s="33">
        <f t="shared" si="38"/>
        <v>1.220703125E-4</v>
      </c>
      <c r="E125" s="33">
        <f t="shared" si="27"/>
        <v>1.953125E-3</v>
      </c>
      <c r="F125" s="33">
        <f t="shared" si="33"/>
        <v>-1.3</v>
      </c>
      <c r="G125" s="1">
        <f t="shared" si="34"/>
        <v>8.7749999999999986</v>
      </c>
      <c r="H125" s="1">
        <f t="shared" si="35"/>
        <v>4492.7999999999993</v>
      </c>
      <c r="I125" s="1">
        <f t="shared" si="36"/>
        <v>8.2353988603988615</v>
      </c>
      <c r="J125" s="1">
        <v>1.5</v>
      </c>
      <c r="K125" s="34">
        <f t="shared" si="37"/>
        <v>6.7815849056603759E-3</v>
      </c>
      <c r="L125" s="34">
        <f t="shared" si="29"/>
        <v>0.30262822641509435</v>
      </c>
      <c r="M125" s="34">
        <f t="shared" si="30"/>
        <v>3.7135888301886792</v>
      </c>
      <c r="N125" s="34">
        <f t="shared" si="28"/>
        <v>0.13987018867924531</v>
      </c>
      <c r="O125" s="35">
        <f t="shared" si="31"/>
        <v>-1.0470837735849048</v>
      </c>
    </row>
    <row r="126" spans="1:15" x14ac:dyDescent="0.2">
      <c r="A126" s="32">
        <v>29.5</v>
      </c>
      <c r="B126" s="1">
        <f t="shared" si="25"/>
        <v>0.125</v>
      </c>
      <c r="C126" s="1">
        <f t="shared" si="26"/>
        <v>0.75</v>
      </c>
      <c r="D126" s="33">
        <f t="shared" si="38"/>
        <v>1.220703125E-4</v>
      </c>
      <c r="E126" s="33">
        <f t="shared" si="27"/>
        <v>1.953125E-3</v>
      </c>
      <c r="F126" s="33">
        <f t="shared" si="33"/>
        <v>-1.3</v>
      </c>
      <c r="G126" s="1">
        <f t="shared" si="34"/>
        <v>8.4499999999999993</v>
      </c>
      <c r="H126" s="1">
        <f t="shared" si="35"/>
        <v>4326.3999999999996</v>
      </c>
      <c r="I126" s="1">
        <f t="shared" si="36"/>
        <v>8.5521449704142025</v>
      </c>
      <c r="J126" s="1">
        <v>1.5</v>
      </c>
      <c r="K126" s="34">
        <f t="shared" si="37"/>
        <v>6.5304150943396224E-3</v>
      </c>
      <c r="L126" s="34">
        <f t="shared" si="29"/>
        <v>0.30429222641509435</v>
      </c>
      <c r="M126" s="34">
        <f t="shared" si="30"/>
        <v>3.7894538867924528</v>
      </c>
      <c r="N126" s="34">
        <f t="shared" si="28"/>
        <v>0.1415341886792453</v>
      </c>
      <c r="O126" s="35">
        <f t="shared" si="31"/>
        <v>-1.0119082264150934</v>
      </c>
    </row>
    <row r="127" spans="1:15" x14ac:dyDescent="0.2">
      <c r="A127" s="32">
        <v>29.75</v>
      </c>
      <c r="B127" s="1">
        <f t="shared" si="25"/>
        <v>0.125</v>
      </c>
      <c r="C127" s="1">
        <f t="shared" si="26"/>
        <v>0.75</v>
      </c>
      <c r="D127" s="33">
        <f t="shared" si="38"/>
        <v>1.220703125E-4</v>
      </c>
      <c r="E127" s="33">
        <f t="shared" si="27"/>
        <v>1.953125E-3</v>
      </c>
      <c r="F127" s="33">
        <f t="shared" si="33"/>
        <v>-1.3</v>
      </c>
      <c r="G127" s="1">
        <f t="shared" si="34"/>
        <v>8.1250000000000036</v>
      </c>
      <c r="H127" s="1">
        <f t="shared" si="35"/>
        <v>4160.0000000000018</v>
      </c>
      <c r="I127" s="1">
        <f t="shared" si="36"/>
        <v>8.8942307692307647</v>
      </c>
      <c r="J127" s="1">
        <v>1.5</v>
      </c>
      <c r="K127" s="34">
        <f t="shared" si="37"/>
        <v>6.2792452830188706E-3</v>
      </c>
      <c r="L127" s="34">
        <f t="shared" si="29"/>
        <v>0.30589343396226415</v>
      </c>
      <c r="M127" s="34">
        <f t="shared" si="30"/>
        <v>3.8657270943396225</v>
      </c>
      <c r="N127" s="34">
        <f t="shared" si="28"/>
        <v>0.14313539622641511</v>
      </c>
      <c r="O127" s="35">
        <f t="shared" si="31"/>
        <v>-0.97632452830188576</v>
      </c>
    </row>
    <row r="128" spans="1:15" x14ac:dyDescent="0.2">
      <c r="A128" s="32">
        <v>30</v>
      </c>
      <c r="B128" s="1">
        <f t="shared" si="25"/>
        <v>0.125</v>
      </c>
      <c r="C128" s="1">
        <f t="shared" si="26"/>
        <v>0.75</v>
      </c>
      <c r="D128" s="33">
        <f t="shared" si="38"/>
        <v>1.220703125E-4</v>
      </c>
      <c r="E128" s="33">
        <f t="shared" si="27"/>
        <v>1.953125E-3</v>
      </c>
      <c r="F128" s="33">
        <f t="shared" si="33"/>
        <v>-1.3</v>
      </c>
      <c r="G128" s="1">
        <f t="shared" si="34"/>
        <v>7.7999999999999972</v>
      </c>
      <c r="H128" s="1">
        <f t="shared" si="35"/>
        <v>3993.5999999999985</v>
      </c>
      <c r="I128" s="1">
        <f t="shared" si="36"/>
        <v>9.2648237179487207</v>
      </c>
      <c r="J128" s="1">
        <v>1.5</v>
      </c>
      <c r="K128" s="34">
        <f t="shared" si="37"/>
        <v>6.0280754716981111E-3</v>
      </c>
      <c r="L128" s="34">
        <f t="shared" si="29"/>
        <v>0.30743184905660376</v>
      </c>
      <c r="M128" s="34">
        <f t="shared" si="30"/>
        <v>3.9423927547169808</v>
      </c>
      <c r="N128" s="34">
        <f t="shared" si="28"/>
        <v>0.14467381132075471</v>
      </c>
      <c r="O128" s="35">
        <f t="shared" si="31"/>
        <v>-0.94034837735848953</v>
      </c>
    </row>
    <row r="129" spans="1:15" x14ac:dyDescent="0.2">
      <c r="A129" s="32">
        <v>30.25</v>
      </c>
      <c r="B129" s="1">
        <f t="shared" si="25"/>
        <v>0.125</v>
      </c>
      <c r="C129" s="1">
        <f t="shared" si="26"/>
        <v>0.75</v>
      </c>
      <c r="D129" s="33">
        <f t="shared" si="38"/>
        <v>1.220703125E-4</v>
      </c>
      <c r="E129" s="33">
        <f t="shared" si="27"/>
        <v>1.953125E-3</v>
      </c>
      <c r="F129" s="33">
        <f t="shared" si="33"/>
        <v>-1.3</v>
      </c>
      <c r="G129" s="1">
        <f t="shared" si="34"/>
        <v>7.4750000000000014</v>
      </c>
      <c r="H129" s="1">
        <f t="shared" si="35"/>
        <v>3827.2000000000007</v>
      </c>
      <c r="I129" s="1">
        <f t="shared" si="36"/>
        <v>9.6676421404682262</v>
      </c>
      <c r="J129" s="1">
        <v>1.5</v>
      </c>
      <c r="K129" s="34">
        <f t="shared" si="37"/>
        <v>5.7769056603773593E-3</v>
      </c>
      <c r="L129" s="34">
        <f t="shared" si="29"/>
        <v>0.30890747169811317</v>
      </c>
      <c r="M129" s="34">
        <f t="shared" si="30"/>
        <v>4.0194351698113202</v>
      </c>
      <c r="N129" s="34">
        <f t="shared" si="28"/>
        <v>0.14614943396226412</v>
      </c>
      <c r="O129" s="35">
        <f t="shared" si="31"/>
        <v>-0.90399547169811223</v>
      </c>
    </row>
    <row r="130" spans="1:15" x14ac:dyDescent="0.2">
      <c r="A130" s="32">
        <v>30.5</v>
      </c>
      <c r="B130" s="1">
        <f t="shared" si="25"/>
        <v>0.125</v>
      </c>
      <c r="C130" s="1">
        <f t="shared" si="26"/>
        <v>0.75</v>
      </c>
      <c r="D130" s="33">
        <f t="shared" si="38"/>
        <v>1.220703125E-4</v>
      </c>
      <c r="E130" s="33">
        <f t="shared" si="27"/>
        <v>1.953125E-3</v>
      </c>
      <c r="F130" s="33">
        <f t="shared" si="33"/>
        <v>-1.3</v>
      </c>
      <c r="G130" s="1">
        <f t="shared" si="34"/>
        <v>7.1499999999999986</v>
      </c>
      <c r="H130" s="1">
        <f t="shared" si="35"/>
        <v>3660.7999999999993</v>
      </c>
      <c r="I130" s="1">
        <f t="shared" si="36"/>
        <v>10.107080419580422</v>
      </c>
      <c r="J130" s="1">
        <v>1.5</v>
      </c>
      <c r="K130" s="34">
        <f t="shared" si="37"/>
        <v>5.5257358490566023E-3</v>
      </c>
      <c r="L130" s="34">
        <f t="shared" si="29"/>
        <v>0.31032030188679244</v>
      </c>
      <c r="M130" s="34">
        <f t="shared" si="30"/>
        <v>4.0968386415094331</v>
      </c>
      <c r="N130" s="34">
        <f t="shared" si="28"/>
        <v>0.1475622641509434</v>
      </c>
      <c r="O130" s="35">
        <f t="shared" si="31"/>
        <v>-0.86728150943396132</v>
      </c>
    </row>
    <row r="131" spans="1:15" x14ac:dyDescent="0.2">
      <c r="A131" s="32">
        <v>30.75</v>
      </c>
      <c r="B131" s="1">
        <f t="shared" si="25"/>
        <v>0.125</v>
      </c>
      <c r="C131" s="1">
        <f t="shared" si="26"/>
        <v>0.75</v>
      </c>
      <c r="D131" s="33">
        <f t="shared" si="38"/>
        <v>1.220703125E-4</v>
      </c>
      <c r="E131" s="33">
        <f t="shared" si="27"/>
        <v>1.953125E-3</v>
      </c>
      <c r="F131" s="33">
        <f t="shared" si="33"/>
        <v>-1.3</v>
      </c>
      <c r="G131" s="1">
        <f t="shared" si="34"/>
        <v>6.8250000000000028</v>
      </c>
      <c r="H131" s="1">
        <f t="shared" si="35"/>
        <v>3494.4000000000015</v>
      </c>
      <c r="I131" s="1">
        <f t="shared" si="36"/>
        <v>10.588369963369958</v>
      </c>
      <c r="J131" s="1">
        <v>1.5</v>
      </c>
      <c r="K131" s="34">
        <f t="shared" si="37"/>
        <v>5.2745660377358514E-3</v>
      </c>
      <c r="L131" s="34">
        <f t="shared" si="29"/>
        <v>0.31167033962264151</v>
      </c>
      <c r="M131" s="34">
        <f t="shared" si="30"/>
        <v>4.1745874716981124</v>
      </c>
      <c r="N131" s="34">
        <f t="shared" si="28"/>
        <v>0.14891230188679247</v>
      </c>
      <c r="O131" s="35">
        <f t="shared" si="31"/>
        <v>-0.83022218867924436</v>
      </c>
    </row>
    <row r="132" spans="1:15" x14ac:dyDescent="0.2">
      <c r="A132" s="32">
        <v>31</v>
      </c>
      <c r="B132" s="1">
        <f t="shared" si="25"/>
        <v>0.125</v>
      </c>
      <c r="C132" s="1">
        <f t="shared" si="26"/>
        <v>0.75</v>
      </c>
      <c r="D132" s="33">
        <f t="shared" si="38"/>
        <v>1.220703125E-4</v>
      </c>
      <c r="E132" s="33">
        <f t="shared" si="27"/>
        <v>1.953125E-3</v>
      </c>
      <c r="F132" s="33">
        <f t="shared" si="33"/>
        <v>-1.3</v>
      </c>
      <c r="G132" s="1">
        <f t="shared" si="34"/>
        <v>6.5</v>
      </c>
      <c r="H132" s="1">
        <f t="shared" si="35"/>
        <v>3328</v>
      </c>
      <c r="I132" s="1">
        <f t="shared" si="36"/>
        <v>11.117788461538462</v>
      </c>
      <c r="J132" s="1">
        <v>1.5</v>
      </c>
      <c r="K132" s="34">
        <f t="shared" si="37"/>
        <v>5.0233962264150944E-3</v>
      </c>
      <c r="L132" s="34">
        <f t="shared" si="29"/>
        <v>0.31295758490566039</v>
      </c>
      <c r="M132" s="34">
        <f t="shared" si="30"/>
        <v>4.2526659622641505</v>
      </c>
      <c r="N132" s="34">
        <f t="shared" si="28"/>
        <v>0.15019954716981135</v>
      </c>
      <c r="O132" s="35">
        <f t="shared" si="31"/>
        <v>-0.79283320754716891</v>
      </c>
    </row>
    <row r="133" spans="1:15" x14ac:dyDescent="0.2">
      <c r="A133" s="32">
        <v>31.25</v>
      </c>
      <c r="B133" s="1">
        <f t="shared" si="25"/>
        <v>0.125</v>
      </c>
      <c r="C133" s="1">
        <f t="shared" si="26"/>
        <v>0.75</v>
      </c>
      <c r="D133" s="33">
        <f t="shared" si="38"/>
        <v>1.220703125E-4</v>
      </c>
      <c r="E133" s="33">
        <f t="shared" si="27"/>
        <v>1.953125E-3</v>
      </c>
      <c r="F133" s="33">
        <f t="shared" si="33"/>
        <v>-1.3</v>
      </c>
      <c r="G133" s="1">
        <f t="shared" si="34"/>
        <v>6.1749999999999972</v>
      </c>
      <c r="H133" s="1">
        <f t="shared" si="35"/>
        <v>3161.5999999999985</v>
      </c>
      <c r="I133" s="1">
        <f t="shared" si="36"/>
        <v>11.702935222672069</v>
      </c>
      <c r="J133" s="1">
        <v>1.5</v>
      </c>
      <c r="K133" s="34">
        <f t="shared" si="37"/>
        <v>4.7722264150943374E-3</v>
      </c>
      <c r="L133" s="34">
        <f t="shared" si="29"/>
        <v>0.31418203773584907</v>
      </c>
      <c r="M133" s="34">
        <f t="shared" si="30"/>
        <v>4.331058415094339</v>
      </c>
      <c r="N133" s="34">
        <f t="shared" si="28"/>
        <v>0.15142400000000003</v>
      </c>
      <c r="O133" s="35">
        <f t="shared" si="31"/>
        <v>-0.75513026415094253</v>
      </c>
    </row>
    <row r="134" spans="1:15" x14ac:dyDescent="0.2">
      <c r="A134" s="32">
        <v>31.5</v>
      </c>
      <c r="B134" s="1">
        <f t="shared" si="25"/>
        <v>0.125</v>
      </c>
      <c r="C134" s="1">
        <f t="shared" si="26"/>
        <v>0.75</v>
      </c>
      <c r="D134" s="33">
        <f t="shared" si="38"/>
        <v>1.220703125E-4</v>
      </c>
      <c r="E134" s="33">
        <f t="shared" si="27"/>
        <v>1.953125E-3</v>
      </c>
      <c r="F134" s="33">
        <f t="shared" si="33"/>
        <v>-1.3</v>
      </c>
      <c r="G134" s="1">
        <f t="shared" si="34"/>
        <v>5.8500000000000014</v>
      </c>
      <c r="H134" s="1">
        <f t="shared" si="35"/>
        <v>2995.2000000000007</v>
      </c>
      <c r="I134" s="1">
        <f t="shared" si="36"/>
        <v>12.353098290598288</v>
      </c>
      <c r="J134" s="1">
        <v>1.5</v>
      </c>
      <c r="K134" s="34">
        <f t="shared" si="37"/>
        <v>4.5210566037735857E-3</v>
      </c>
      <c r="L134" s="34">
        <f t="shared" si="29"/>
        <v>0.31534369811320756</v>
      </c>
      <c r="M134" s="34">
        <f t="shared" si="30"/>
        <v>4.4097491320754711</v>
      </c>
      <c r="N134" s="34">
        <f t="shared" si="28"/>
        <v>0.15258566037735852</v>
      </c>
      <c r="O134" s="35">
        <f t="shared" si="31"/>
        <v>-0.71712905660377269</v>
      </c>
    </row>
    <row r="135" spans="1:15" x14ac:dyDescent="0.2">
      <c r="A135" s="32">
        <v>31.75</v>
      </c>
      <c r="B135" s="1">
        <f t="shared" si="25"/>
        <v>0.125</v>
      </c>
      <c r="C135" s="1">
        <f t="shared" si="26"/>
        <v>0.75</v>
      </c>
      <c r="D135" s="33">
        <f>1/12*C135*B135^3</f>
        <v>1.220703125E-4</v>
      </c>
      <c r="E135" s="33">
        <f t="shared" si="27"/>
        <v>1.953125E-3</v>
      </c>
      <c r="F135" s="33">
        <f t="shared" si="33"/>
        <v>-1.3</v>
      </c>
      <c r="G135" s="1">
        <f t="shared" si="34"/>
        <v>5.5249999999999986</v>
      </c>
      <c r="H135" s="1">
        <f t="shared" si="35"/>
        <v>2828.7999999999993</v>
      </c>
      <c r="I135" s="1">
        <f t="shared" si="36"/>
        <v>13.079751131221723</v>
      </c>
      <c r="J135" s="1">
        <v>1.5</v>
      </c>
      <c r="K135" s="34">
        <f t="shared" si="37"/>
        <v>4.2698867924528287E-3</v>
      </c>
      <c r="L135" s="34">
        <f t="shared" si="29"/>
        <v>0.31644256603773585</v>
      </c>
      <c r="M135" s="34">
        <f t="shared" si="30"/>
        <v>4.4887224150943394</v>
      </c>
      <c r="N135" s="34">
        <f t="shared" si="28"/>
        <v>0.15368452830188681</v>
      </c>
      <c r="O135" s="35">
        <f t="shared" si="31"/>
        <v>-0.67884528301886704</v>
      </c>
    </row>
    <row r="136" spans="1:15" x14ac:dyDescent="0.2">
      <c r="A136" s="32">
        <v>32</v>
      </c>
      <c r="B136" s="1">
        <f t="shared" si="25"/>
        <v>0.125</v>
      </c>
      <c r="C136" s="1">
        <f t="shared" si="26"/>
        <v>0.75</v>
      </c>
      <c r="D136" s="33">
        <f>1/12*C136*B136^3</f>
        <v>1.220703125E-4</v>
      </c>
      <c r="E136" s="33">
        <f t="shared" si="27"/>
        <v>1.953125E-3</v>
      </c>
      <c r="F136" s="33">
        <f t="shared" ref="F136:F152" si="39">0.5*$F$2-$F$2*GESTEP(A136,18)+0.5*$F$2*GESTEP(A136,36)</f>
        <v>-1.3</v>
      </c>
      <c r="G136" s="1">
        <f t="shared" ref="G136:G152" si="40">0.5*$F$2*A136-$F$2*MAX(0,A136-18)</f>
        <v>5.2000000000000028</v>
      </c>
      <c r="H136" s="1">
        <f t="shared" ref="H136:H167" si="41">ABS(G136*(B136/2)/D136)</f>
        <v>2662.4000000000015</v>
      </c>
      <c r="I136" s="1">
        <f t="shared" ref="I136:I167" si="42">$B$2/H136</f>
        <v>13.89723557692307</v>
      </c>
      <c r="J136" s="1">
        <v>1.5</v>
      </c>
      <c r="K136" s="34">
        <f t="shared" ref="K136:K152" si="43">G136/($B$3*D136)</f>
        <v>4.0187169811320778E-3</v>
      </c>
      <c r="L136" s="34">
        <f t="shared" si="29"/>
        <v>0.31747864150943395</v>
      </c>
      <c r="M136" s="34">
        <f t="shared" si="30"/>
        <v>4.5679625660377354</v>
      </c>
      <c r="N136" s="34">
        <f t="shared" si="28"/>
        <v>0.1547206037735849</v>
      </c>
      <c r="O136" s="35">
        <f t="shared" si="31"/>
        <v>-0.64029464150943305</v>
      </c>
    </row>
    <row r="137" spans="1:15" x14ac:dyDescent="0.2">
      <c r="A137" s="32">
        <v>32.25</v>
      </c>
      <c r="B137" s="1">
        <f t="shared" ref="B137:B152" si="44">1/8</f>
        <v>0.125</v>
      </c>
      <c r="C137" s="1">
        <f t="shared" ref="C137:C152" si="45">3/4</f>
        <v>0.75</v>
      </c>
      <c r="D137" s="33">
        <f t="shared" ref="D137:D150" si="46">1/12*C137*B137^3</f>
        <v>1.220703125E-4</v>
      </c>
      <c r="E137" s="33">
        <f t="shared" ref="E137:E152" si="47">D137/(B137/2)</f>
        <v>1.953125E-3</v>
      </c>
      <c r="F137" s="33">
        <f t="shared" si="39"/>
        <v>-1.3</v>
      </c>
      <c r="G137" s="1">
        <f t="shared" si="40"/>
        <v>4.875</v>
      </c>
      <c r="H137" s="1">
        <f t="shared" si="41"/>
        <v>2496</v>
      </c>
      <c r="I137" s="1">
        <f t="shared" si="42"/>
        <v>14.823717948717949</v>
      </c>
      <c r="J137" s="1">
        <v>1.5</v>
      </c>
      <c r="K137" s="34">
        <f t="shared" si="43"/>
        <v>3.7675471698113208E-3</v>
      </c>
      <c r="L137" s="34">
        <f t="shared" si="29"/>
        <v>0.31845192452830184</v>
      </c>
      <c r="M137" s="34">
        <f t="shared" si="30"/>
        <v>4.6474538867924524</v>
      </c>
      <c r="N137" s="34">
        <f t="shared" ref="N137:N152" si="48">L137+$N$4</f>
        <v>0.1556938867924528</v>
      </c>
      <c r="O137" s="35">
        <f t="shared" si="31"/>
        <v>-0.60149283018867838</v>
      </c>
    </row>
    <row r="138" spans="1:15" x14ac:dyDescent="0.2">
      <c r="A138" s="32">
        <v>32.5</v>
      </c>
      <c r="B138" s="1">
        <f t="shared" si="44"/>
        <v>0.125</v>
      </c>
      <c r="C138" s="1">
        <f t="shared" si="45"/>
        <v>0.75</v>
      </c>
      <c r="D138" s="33">
        <f t="shared" si="46"/>
        <v>1.220703125E-4</v>
      </c>
      <c r="E138" s="33">
        <f t="shared" si="47"/>
        <v>1.953125E-3</v>
      </c>
      <c r="F138" s="33">
        <f t="shared" si="39"/>
        <v>-1.3</v>
      </c>
      <c r="G138" s="1">
        <f t="shared" si="40"/>
        <v>4.5499999999999972</v>
      </c>
      <c r="H138" s="1">
        <f t="shared" si="41"/>
        <v>2329.5999999999985</v>
      </c>
      <c r="I138" s="1">
        <f t="shared" si="42"/>
        <v>15.882554945054954</v>
      </c>
      <c r="J138" s="1">
        <v>1.5</v>
      </c>
      <c r="K138" s="34">
        <f t="shared" si="43"/>
        <v>3.5163773584905638E-3</v>
      </c>
      <c r="L138" s="34">
        <f t="shared" ref="L138:L152" si="49">L137+AVERAGE(K137:K138)*(A138-A137)</f>
        <v>0.3193624150943396</v>
      </c>
      <c r="M138" s="34">
        <f t="shared" ref="M138:M152" si="50">M137+AVERAGE(L137:L138)*(A138-A137)</f>
        <v>4.7271806792452828</v>
      </c>
      <c r="N138" s="34">
        <f t="shared" si="48"/>
        <v>0.15660437735849056</v>
      </c>
      <c r="O138" s="35">
        <f t="shared" ref="O138:O152" si="51">O137+AVERAGE(N137:N138)*(A138-A137)</f>
        <v>-0.5624555471698105</v>
      </c>
    </row>
    <row r="139" spans="1:15" x14ac:dyDescent="0.2">
      <c r="A139" s="32">
        <v>32.75</v>
      </c>
      <c r="B139" s="1">
        <f t="shared" si="44"/>
        <v>0.125</v>
      </c>
      <c r="C139" s="1">
        <f t="shared" si="45"/>
        <v>0.75</v>
      </c>
      <c r="D139" s="33">
        <f t="shared" si="46"/>
        <v>1.220703125E-4</v>
      </c>
      <c r="E139" s="33">
        <f t="shared" si="47"/>
        <v>1.953125E-3</v>
      </c>
      <c r="F139" s="33">
        <f t="shared" si="39"/>
        <v>-1.3</v>
      </c>
      <c r="G139" s="1">
        <f t="shared" si="40"/>
        <v>4.2250000000000014</v>
      </c>
      <c r="H139" s="1">
        <f t="shared" si="41"/>
        <v>2163.2000000000007</v>
      </c>
      <c r="I139" s="1">
        <f t="shared" si="42"/>
        <v>17.104289940828398</v>
      </c>
      <c r="J139" s="1">
        <v>1.5</v>
      </c>
      <c r="K139" s="34">
        <f t="shared" si="43"/>
        <v>3.2652075471698125E-3</v>
      </c>
      <c r="L139" s="34">
        <f t="shared" si="49"/>
        <v>0.32021011320754716</v>
      </c>
      <c r="M139" s="34">
        <f t="shared" si="50"/>
        <v>4.8071272452830183</v>
      </c>
      <c r="N139" s="34">
        <f t="shared" si="48"/>
        <v>0.15745207547169812</v>
      </c>
      <c r="O139" s="35">
        <f t="shared" si="51"/>
        <v>-0.52319849056603696</v>
      </c>
    </row>
    <row r="140" spans="1:15" x14ac:dyDescent="0.2">
      <c r="A140" s="32">
        <v>33</v>
      </c>
      <c r="B140" s="1">
        <f t="shared" si="44"/>
        <v>0.125</v>
      </c>
      <c r="C140" s="1">
        <f t="shared" si="45"/>
        <v>0.75</v>
      </c>
      <c r="D140" s="33">
        <f t="shared" si="46"/>
        <v>1.220703125E-4</v>
      </c>
      <c r="E140" s="33">
        <f t="shared" si="47"/>
        <v>1.953125E-3</v>
      </c>
      <c r="F140" s="33">
        <f t="shared" si="39"/>
        <v>-1.3</v>
      </c>
      <c r="G140" s="1">
        <f t="shared" si="40"/>
        <v>3.8999999999999986</v>
      </c>
      <c r="H140" s="1">
        <f t="shared" si="41"/>
        <v>1996.7999999999993</v>
      </c>
      <c r="I140" s="1">
        <f t="shared" si="42"/>
        <v>18.529647435897441</v>
      </c>
      <c r="J140" s="1">
        <v>1.5</v>
      </c>
      <c r="K140" s="34">
        <f t="shared" si="43"/>
        <v>3.0140377358490555E-3</v>
      </c>
      <c r="L140" s="34">
        <f t="shared" si="49"/>
        <v>0.32099501886792453</v>
      </c>
      <c r="M140" s="34">
        <f t="shared" si="50"/>
        <v>4.887277886792452</v>
      </c>
      <c r="N140" s="34">
        <f t="shared" si="48"/>
        <v>0.15823698113207549</v>
      </c>
      <c r="O140" s="35">
        <f t="shared" si="51"/>
        <v>-0.48373735849056526</v>
      </c>
    </row>
    <row r="141" spans="1:15" x14ac:dyDescent="0.2">
      <c r="A141" s="32">
        <v>33.25</v>
      </c>
      <c r="B141" s="1">
        <f t="shared" si="44"/>
        <v>0.125</v>
      </c>
      <c r="C141" s="1">
        <f t="shared" si="45"/>
        <v>0.75</v>
      </c>
      <c r="D141" s="33">
        <f t="shared" si="46"/>
        <v>1.220703125E-4</v>
      </c>
      <c r="E141" s="33">
        <f t="shared" si="47"/>
        <v>1.953125E-3</v>
      </c>
      <c r="F141" s="33">
        <f t="shared" si="39"/>
        <v>-1.3</v>
      </c>
      <c r="G141" s="1">
        <f t="shared" si="40"/>
        <v>3.5750000000000028</v>
      </c>
      <c r="H141" s="1">
        <f t="shared" si="41"/>
        <v>1830.4000000000015</v>
      </c>
      <c r="I141" s="1">
        <f t="shared" si="42"/>
        <v>20.214160839160822</v>
      </c>
      <c r="J141" s="1">
        <v>1.5</v>
      </c>
      <c r="K141" s="34">
        <f t="shared" si="43"/>
        <v>2.7628679245283042E-3</v>
      </c>
      <c r="L141" s="34">
        <f t="shared" si="49"/>
        <v>0.3217171320754717</v>
      </c>
      <c r="M141" s="34">
        <f t="shared" si="50"/>
        <v>4.9676169056603765</v>
      </c>
      <c r="N141" s="34">
        <f t="shared" si="48"/>
        <v>0.15895909433962266</v>
      </c>
      <c r="O141" s="35">
        <f t="shared" si="51"/>
        <v>-0.44408784905660298</v>
      </c>
    </row>
    <row r="142" spans="1:15" x14ac:dyDescent="0.2">
      <c r="A142" s="32">
        <v>33.5</v>
      </c>
      <c r="B142" s="1">
        <f t="shared" si="44"/>
        <v>0.125</v>
      </c>
      <c r="C142" s="1">
        <f t="shared" si="45"/>
        <v>0.75</v>
      </c>
      <c r="D142" s="33">
        <f t="shared" si="46"/>
        <v>1.220703125E-4</v>
      </c>
      <c r="E142" s="33">
        <f t="shared" si="47"/>
        <v>1.953125E-3</v>
      </c>
      <c r="F142" s="33">
        <f t="shared" si="39"/>
        <v>-1.3</v>
      </c>
      <c r="G142" s="1">
        <f t="shared" si="40"/>
        <v>3.25</v>
      </c>
      <c r="H142" s="1">
        <f t="shared" si="41"/>
        <v>1664</v>
      </c>
      <c r="I142" s="1">
        <f t="shared" si="42"/>
        <v>22.235576923076923</v>
      </c>
      <c r="J142" s="1">
        <v>1.5</v>
      </c>
      <c r="K142" s="34">
        <f t="shared" si="43"/>
        <v>2.5116981132075472E-3</v>
      </c>
      <c r="L142" s="34">
        <f t="shared" si="49"/>
        <v>0.32237645283018868</v>
      </c>
      <c r="M142" s="34">
        <f t="shared" si="50"/>
        <v>5.0481286037735842</v>
      </c>
      <c r="N142" s="34">
        <f t="shared" si="48"/>
        <v>0.15961841509433963</v>
      </c>
      <c r="O142" s="35">
        <f t="shared" si="51"/>
        <v>-0.40426566037735767</v>
      </c>
    </row>
    <row r="143" spans="1:15" x14ac:dyDescent="0.2">
      <c r="A143" s="32">
        <v>33.75</v>
      </c>
      <c r="B143" s="1">
        <f t="shared" si="44"/>
        <v>0.125</v>
      </c>
      <c r="C143" s="1">
        <f t="shared" si="45"/>
        <v>0.75</v>
      </c>
      <c r="D143" s="33">
        <f t="shared" si="46"/>
        <v>1.220703125E-4</v>
      </c>
      <c r="E143" s="33">
        <f t="shared" si="47"/>
        <v>1.953125E-3</v>
      </c>
      <c r="F143" s="33">
        <f t="shared" si="39"/>
        <v>-1.3</v>
      </c>
      <c r="G143" s="1">
        <f t="shared" si="40"/>
        <v>2.9249999999999972</v>
      </c>
      <c r="H143" s="1">
        <f t="shared" si="41"/>
        <v>1497.5999999999985</v>
      </c>
      <c r="I143" s="1">
        <f t="shared" si="42"/>
        <v>24.706196581196604</v>
      </c>
      <c r="J143" s="1">
        <v>1.5</v>
      </c>
      <c r="K143" s="34">
        <f t="shared" si="43"/>
        <v>2.2605283018867902E-3</v>
      </c>
      <c r="L143" s="34">
        <f t="shared" si="49"/>
        <v>0.32297298113207545</v>
      </c>
      <c r="M143" s="34">
        <f t="shared" si="50"/>
        <v>5.1287972830188675</v>
      </c>
      <c r="N143" s="34">
        <f t="shared" si="48"/>
        <v>0.16021494339622641</v>
      </c>
      <c r="O143" s="35">
        <f t="shared" si="51"/>
        <v>-0.3642864905660369</v>
      </c>
    </row>
    <row r="144" spans="1:15" x14ac:dyDescent="0.2">
      <c r="A144" s="32">
        <v>34</v>
      </c>
      <c r="B144" s="1">
        <f t="shared" si="44"/>
        <v>0.125</v>
      </c>
      <c r="C144" s="1">
        <f t="shared" si="45"/>
        <v>0.75</v>
      </c>
      <c r="D144" s="33">
        <f t="shared" si="46"/>
        <v>1.220703125E-4</v>
      </c>
      <c r="E144" s="33">
        <f t="shared" si="47"/>
        <v>1.953125E-3</v>
      </c>
      <c r="F144" s="33">
        <f t="shared" si="39"/>
        <v>-1.3</v>
      </c>
      <c r="G144" s="1">
        <f t="shared" si="40"/>
        <v>2.6000000000000014</v>
      </c>
      <c r="H144" s="1">
        <f t="shared" si="41"/>
        <v>1331.2000000000007</v>
      </c>
      <c r="I144" s="1">
        <f t="shared" si="42"/>
        <v>27.794471153846139</v>
      </c>
      <c r="J144" s="1">
        <v>1.5</v>
      </c>
      <c r="K144" s="34">
        <f t="shared" si="43"/>
        <v>2.0093584905660389E-3</v>
      </c>
      <c r="L144" s="34">
        <f t="shared" si="49"/>
        <v>0.32350671698113204</v>
      </c>
      <c r="M144" s="34">
        <f t="shared" si="50"/>
        <v>5.2096072452830189</v>
      </c>
      <c r="N144" s="34">
        <f t="shared" si="48"/>
        <v>0.16074867924528299</v>
      </c>
      <c r="O144" s="35">
        <f t="shared" si="51"/>
        <v>-0.32416603773584823</v>
      </c>
    </row>
    <row r="145" spans="1:15" x14ac:dyDescent="0.2">
      <c r="A145" s="32">
        <v>34.25</v>
      </c>
      <c r="B145" s="1">
        <f t="shared" si="44"/>
        <v>0.125</v>
      </c>
      <c r="C145" s="1">
        <f t="shared" si="45"/>
        <v>0.75</v>
      </c>
      <c r="D145" s="33">
        <f t="shared" si="46"/>
        <v>1.220703125E-4</v>
      </c>
      <c r="E145" s="33">
        <f t="shared" si="47"/>
        <v>1.953125E-3</v>
      </c>
      <c r="F145" s="33">
        <f t="shared" si="39"/>
        <v>-1.3</v>
      </c>
      <c r="G145" s="1">
        <f t="shared" si="40"/>
        <v>2.2749999999999986</v>
      </c>
      <c r="H145" s="1">
        <f t="shared" si="41"/>
        <v>1164.7999999999993</v>
      </c>
      <c r="I145" s="1">
        <f t="shared" si="42"/>
        <v>31.765109890109908</v>
      </c>
      <c r="J145" s="1">
        <v>1.5</v>
      </c>
      <c r="K145" s="34">
        <f t="shared" si="43"/>
        <v>1.7581886792452819E-3</v>
      </c>
      <c r="L145" s="34">
        <f t="shared" si="49"/>
        <v>0.32397766037735848</v>
      </c>
      <c r="M145" s="34">
        <f t="shared" si="50"/>
        <v>5.2905427924528299</v>
      </c>
      <c r="N145" s="34">
        <f t="shared" si="48"/>
        <v>0.16121962264150944</v>
      </c>
      <c r="O145" s="35">
        <f t="shared" si="51"/>
        <v>-0.28391999999999917</v>
      </c>
    </row>
    <row r="146" spans="1:15" x14ac:dyDescent="0.2">
      <c r="A146" s="32">
        <v>34.5</v>
      </c>
      <c r="B146" s="1">
        <f t="shared" si="44"/>
        <v>0.125</v>
      </c>
      <c r="C146" s="1">
        <f t="shared" si="45"/>
        <v>0.75</v>
      </c>
      <c r="D146" s="33">
        <f t="shared" si="46"/>
        <v>1.220703125E-4</v>
      </c>
      <c r="E146" s="33">
        <f t="shared" si="47"/>
        <v>1.953125E-3</v>
      </c>
      <c r="F146" s="33">
        <f t="shared" si="39"/>
        <v>-1.3</v>
      </c>
      <c r="G146" s="1">
        <f t="shared" si="40"/>
        <v>1.9500000000000028</v>
      </c>
      <c r="H146" s="1">
        <f t="shared" si="41"/>
        <v>998.40000000000146</v>
      </c>
      <c r="I146" s="1">
        <f t="shared" si="42"/>
        <v>37.059294871794819</v>
      </c>
      <c r="J146" s="1">
        <v>1.5</v>
      </c>
      <c r="K146" s="34">
        <f t="shared" si="43"/>
        <v>1.5070188679245306E-3</v>
      </c>
      <c r="L146" s="34">
        <f t="shared" si="49"/>
        <v>0.32438581132075472</v>
      </c>
      <c r="M146" s="34">
        <f t="shared" si="50"/>
        <v>5.3715882264150938</v>
      </c>
      <c r="N146" s="34">
        <f t="shared" si="48"/>
        <v>0.16162777358490568</v>
      </c>
      <c r="O146" s="35">
        <f t="shared" si="51"/>
        <v>-0.24356407547169728</v>
      </c>
    </row>
    <row r="147" spans="1:15" x14ac:dyDescent="0.2">
      <c r="A147" s="32">
        <v>34.75</v>
      </c>
      <c r="B147" s="1">
        <f t="shared" si="44"/>
        <v>0.125</v>
      </c>
      <c r="C147" s="1">
        <f t="shared" si="45"/>
        <v>0.75</v>
      </c>
      <c r="D147" s="33">
        <f t="shared" si="46"/>
        <v>1.220703125E-4</v>
      </c>
      <c r="E147" s="33">
        <f t="shared" si="47"/>
        <v>1.953125E-3</v>
      </c>
      <c r="F147" s="33">
        <f t="shared" si="39"/>
        <v>-1.3</v>
      </c>
      <c r="G147" s="1">
        <f t="shared" si="40"/>
        <v>1.625</v>
      </c>
      <c r="H147" s="1">
        <f t="shared" si="41"/>
        <v>832</v>
      </c>
      <c r="I147" s="1">
        <f t="shared" si="42"/>
        <v>44.471153846153847</v>
      </c>
      <c r="J147" s="1">
        <v>1.5</v>
      </c>
      <c r="K147" s="34">
        <f t="shared" si="43"/>
        <v>1.2558490566037736E-3</v>
      </c>
      <c r="L147" s="34">
        <f t="shared" si="49"/>
        <v>0.32473116981132077</v>
      </c>
      <c r="M147" s="34">
        <f t="shared" si="50"/>
        <v>5.4527278490566031</v>
      </c>
      <c r="N147" s="34">
        <f t="shared" si="48"/>
        <v>0.16197313207547173</v>
      </c>
      <c r="O147" s="35">
        <f t="shared" si="51"/>
        <v>-0.2031139622641501</v>
      </c>
    </row>
    <row r="148" spans="1:15" x14ac:dyDescent="0.2">
      <c r="A148" s="32">
        <v>35</v>
      </c>
      <c r="B148" s="1">
        <f t="shared" si="44"/>
        <v>0.125</v>
      </c>
      <c r="C148" s="1">
        <f t="shared" si="45"/>
        <v>0.75</v>
      </c>
      <c r="D148" s="33">
        <f t="shared" si="46"/>
        <v>1.220703125E-4</v>
      </c>
      <c r="E148" s="33">
        <f t="shared" si="47"/>
        <v>1.953125E-3</v>
      </c>
      <c r="F148" s="33">
        <f t="shared" si="39"/>
        <v>-1.3</v>
      </c>
      <c r="G148" s="1">
        <f t="shared" si="40"/>
        <v>1.2999999999999972</v>
      </c>
      <c r="H148" s="1">
        <f t="shared" si="41"/>
        <v>665.59999999999854</v>
      </c>
      <c r="I148" s="1">
        <f t="shared" si="42"/>
        <v>55.588942307692427</v>
      </c>
      <c r="J148" s="1">
        <v>1.5</v>
      </c>
      <c r="K148" s="34">
        <f t="shared" si="43"/>
        <v>1.0046792452830166E-3</v>
      </c>
      <c r="L148" s="34">
        <f t="shared" si="49"/>
        <v>0.32501373584905663</v>
      </c>
      <c r="M148" s="34">
        <f t="shared" si="50"/>
        <v>5.5339459622641503</v>
      </c>
      <c r="N148" s="34">
        <f t="shared" si="48"/>
        <v>0.16225569811320759</v>
      </c>
      <c r="O148" s="35">
        <f t="shared" si="51"/>
        <v>-0.16258535849056518</v>
      </c>
    </row>
    <row r="149" spans="1:15" x14ac:dyDescent="0.2">
      <c r="A149" s="32">
        <v>35.25</v>
      </c>
      <c r="B149" s="1">
        <f t="shared" si="44"/>
        <v>0.125</v>
      </c>
      <c r="C149" s="1">
        <f t="shared" si="45"/>
        <v>0.75</v>
      </c>
      <c r="D149" s="33">
        <f t="shared" si="46"/>
        <v>1.220703125E-4</v>
      </c>
      <c r="E149" s="33">
        <f t="shared" si="47"/>
        <v>1.953125E-3</v>
      </c>
      <c r="F149" s="33">
        <f t="shared" si="39"/>
        <v>-1.3</v>
      </c>
      <c r="G149" s="1">
        <f t="shared" si="40"/>
        <v>0.97500000000000142</v>
      </c>
      <c r="H149" s="1">
        <f t="shared" si="41"/>
        <v>499.20000000000073</v>
      </c>
      <c r="I149" s="1">
        <f t="shared" si="42"/>
        <v>74.118589743589638</v>
      </c>
      <c r="J149" s="1">
        <v>1.5</v>
      </c>
      <c r="K149" s="34">
        <f t="shared" si="43"/>
        <v>7.5350943396226529E-4</v>
      </c>
      <c r="L149" s="34">
        <f t="shared" si="49"/>
        <v>0.32523350943396229</v>
      </c>
      <c r="M149" s="34">
        <f t="shared" si="50"/>
        <v>5.6152268679245276</v>
      </c>
      <c r="N149" s="34">
        <f t="shared" si="48"/>
        <v>0.16247547169811324</v>
      </c>
      <c r="O149" s="35">
        <f t="shared" si="51"/>
        <v>-0.12199396226415007</v>
      </c>
    </row>
    <row r="150" spans="1:15" x14ac:dyDescent="0.2">
      <c r="A150" s="32">
        <v>35.5</v>
      </c>
      <c r="B150" s="1">
        <f t="shared" si="44"/>
        <v>0.125</v>
      </c>
      <c r="C150" s="1">
        <f t="shared" si="45"/>
        <v>0.75</v>
      </c>
      <c r="D150" s="33">
        <f t="shared" si="46"/>
        <v>1.220703125E-4</v>
      </c>
      <c r="E150" s="33">
        <f t="shared" si="47"/>
        <v>1.953125E-3</v>
      </c>
      <c r="F150" s="33">
        <f t="shared" si="39"/>
        <v>-1.3</v>
      </c>
      <c r="G150" s="1">
        <f t="shared" si="40"/>
        <v>0.64999999999999858</v>
      </c>
      <c r="H150" s="1">
        <f t="shared" si="41"/>
        <v>332.79999999999927</v>
      </c>
      <c r="I150" s="1">
        <f t="shared" si="42"/>
        <v>111.17788461538485</v>
      </c>
      <c r="J150" s="1">
        <v>1.5</v>
      </c>
      <c r="K150" s="34">
        <f t="shared" si="43"/>
        <v>5.0233962264150831E-4</v>
      </c>
      <c r="L150" s="34">
        <f t="shared" si="49"/>
        <v>0.32539049056603775</v>
      </c>
      <c r="M150" s="34">
        <f t="shared" si="50"/>
        <v>5.6965548679245277</v>
      </c>
      <c r="N150" s="34">
        <f t="shared" si="48"/>
        <v>0.16263245283018871</v>
      </c>
      <c r="O150" s="35">
        <f t="shared" si="51"/>
        <v>-8.135547169811233E-2</v>
      </c>
    </row>
    <row r="151" spans="1:15" x14ac:dyDescent="0.2">
      <c r="A151" s="32">
        <v>35.75</v>
      </c>
      <c r="B151" s="1">
        <f t="shared" si="44"/>
        <v>0.125</v>
      </c>
      <c r="C151" s="1">
        <f t="shared" si="45"/>
        <v>0.75</v>
      </c>
      <c r="D151" s="33">
        <f>1/12*C151*B151^3</f>
        <v>1.220703125E-4</v>
      </c>
      <c r="E151" s="33">
        <f t="shared" si="47"/>
        <v>1.953125E-3</v>
      </c>
      <c r="F151" s="33">
        <f t="shared" si="39"/>
        <v>-1.3</v>
      </c>
      <c r="G151" s="1">
        <f t="shared" si="40"/>
        <v>0.32500000000000284</v>
      </c>
      <c r="H151" s="1">
        <f t="shared" si="41"/>
        <v>166.40000000000146</v>
      </c>
      <c r="I151" s="1">
        <f t="shared" si="42"/>
        <v>222.35576923076729</v>
      </c>
      <c r="J151" s="1">
        <v>1.5</v>
      </c>
      <c r="K151" s="34">
        <f t="shared" si="43"/>
        <v>2.5116981132075692E-4</v>
      </c>
      <c r="L151" s="34">
        <f t="shared" si="49"/>
        <v>0.32548467924528302</v>
      </c>
      <c r="M151" s="34">
        <f t="shared" si="50"/>
        <v>5.7779142641509429</v>
      </c>
      <c r="N151" s="34">
        <f t="shared" si="48"/>
        <v>0.16272664150943397</v>
      </c>
      <c r="O151" s="35">
        <f t="shared" si="51"/>
        <v>-4.0685584905659496E-2</v>
      </c>
    </row>
    <row r="152" spans="1:15" ht="17" thickBot="1" x14ac:dyDescent="0.25">
      <c r="A152" s="13">
        <v>36</v>
      </c>
      <c r="B152" s="14">
        <f t="shared" si="44"/>
        <v>0.125</v>
      </c>
      <c r="C152" s="14">
        <f t="shared" si="45"/>
        <v>0.75</v>
      </c>
      <c r="D152" s="36">
        <f>1/12*C152*B152^3</f>
        <v>1.220703125E-4</v>
      </c>
      <c r="E152" s="36">
        <f t="shared" si="47"/>
        <v>1.953125E-3</v>
      </c>
      <c r="F152" s="36">
        <f t="shared" si="39"/>
        <v>0</v>
      </c>
      <c r="G152" s="14">
        <f t="shared" si="40"/>
        <v>0</v>
      </c>
      <c r="H152" s="14">
        <f t="shared" si="41"/>
        <v>0</v>
      </c>
      <c r="I152" s="14" t="e">
        <f t="shared" si="42"/>
        <v>#DIV/0!</v>
      </c>
      <c r="J152" s="14">
        <v>1.5</v>
      </c>
      <c r="K152" s="37">
        <f t="shared" si="43"/>
        <v>0</v>
      </c>
      <c r="L152" s="37">
        <f t="shared" si="49"/>
        <v>0.32551607547169809</v>
      </c>
      <c r="M152" s="37">
        <f t="shared" si="50"/>
        <v>5.8592893584905656</v>
      </c>
      <c r="N152" s="37">
        <f t="shared" si="48"/>
        <v>0.16275803773584904</v>
      </c>
      <c r="O152" s="38">
        <f t="shared" si="51"/>
        <v>8.81239525796218E-16</v>
      </c>
    </row>
  </sheetData>
  <mergeCells count="8">
    <mergeCell ref="P1:X42"/>
    <mergeCell ref="L2:M2"/>
    <mergeCell ref="A1:C1"/>
    <mergeCell ref="E1:G1"/>
    <mergeCell ref="B5:E5"/>
    <mergeCell ref="F5:G5"/>
    <mergeCell ref="H5:J5"/>
    <mergeCell ref="K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Wilkerson, Justin W</dc:creator>
  <cp:lastModifiedBy>Wilkerson, Justin W</cp:lastModifiedBy>
  <dcterms:created xsi:type="dcterms:W3CDTF">2025-10-02T19:38:35Z</dcterms:created>
  <dcterms:modified xsi:type="dcterms:W3CDTF">2026-03-25T16:00:40Z</dcterms:modified>
</cp:coreProperties>
</file>